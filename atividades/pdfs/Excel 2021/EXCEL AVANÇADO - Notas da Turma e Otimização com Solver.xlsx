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Notas da Turma" sheetId="2" state="visible" r:id="rId4"/>
    <sheet name="Otimização com Solv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<sst xmlns="http://schemas.openxmlformats.org/spreadsheetml/2006/main" count="82" uniqueCount="82">
  <si>
    <t xml:space="preserve">EXCEL AVANÇADO — Notas da Turma e Otimização com Solver</t>
  </si>
  <si>
    <t xml:space="preserve">Médias ponderadas, situação do aluno e otimização de estudo com o Solver</t>
  </si>
  <si>
    <t xml:space="preserve">Parte 1 — Aba "Notas da Turma"</t>
  </si>
  <si>
    <t xml:space="preserve">Planilha completa com as notas de 25 alunos em 4 avaliações (P1, P2, Trabalho e Prova Final), cada uma com um peso diferente. A Média Ponderada usa SOMARPRODUTO e a Situação usa SE aninhado (Aprovado ≥ 7, Recuperação de 5 a 6,9, Reprovado &lt; 5).</t>
  </si>
  <si>
    <t xml:space="preserve">Parte 2 — Aba "Otimização com Solver"</t>
  </si>
  <si>
    <t xml:space="preserve">Um aluno tem 15 horas livres nesta semana para estudar e quer usá-las da melhor forma possível entre 6 matérias, para conseguir a maior média final ponderada.</t>
  </si>
  <si>
    <t xml:space="preserve">Como configurar o Solver</t>
  </si>
  <si>
    <t xml:space="preserve">1. Vá na aba "Otimização com Solver" e leia a tabela: cada matéria tem peso, nota atual e</t>
  </si>
  <si>
    <t xml:space="preserve">   um ganho de nota por hora de estudo dedicada a ela.</t>
  </si>
  <si>
    <t xml:space="preserve">2. No menu Dados, clique em Solver (se não aparecer, ative em Ferramentas &gt; Suplementos).</t>
  </si>
  <si>
    <t xml:space="preserve">3. Célula de objetivo: a célula da Média Final Estimada (verde). Defina como: Máx.</t>
  </si>
  <si>
    <t xml:space="preserve">4. Células variáveis: o intervalo de Horas Dedicadas (amarelo).</t>
  </si>
  <si>
    <t xml:space="preserve">5. Adicione as restrições: soma das horas dedicadas ≤ horas disponíveis; cada hora ≥ 0.</t>
  </si>
  <si>
    <t xml:space="preserve">6. Método de resolução: escolha "GRG Não-Linear". Clique em Resolver.</t>
  </si>
  <si>
    <t xml:space="preserve">7. O Solver decide quantas horas dedicar a cada matéria para maximizar a média final.</t>
  </si>
  <si>
    <t xml:space="preserve">Legenda de cores (aba Otimização com Solver)</t>
  </si>
  <si>
    <t xml:space="preserve">  Amarelo = células variáveis (o Solver muda estes valores)</t>
  </si>
  <si>
    <t xml:space="preserve">  Verde = célula de objetivo (o que o Solver deve maximizar)</t>
  </si>
  <si>
    <t xml:space="preserve">Pesos:</t>
  </si>
  <si>
    <t xml:space="preserve">Nº</t>
  </si>
  <si>
    <t xml:space="preserve">Aluno</t>
  </si>
  <si>
    <t xml:space="preserve">P1</t>
  </si>
  <si>
    <t xml:space="preserve">P2</t>
  </si>
  <si>
    <t xml:space="preserve">Trabalho</t>
  </si>
  <si>
    <t xml:space="preserve">Prova Final</t>
  </si>
  <si>
    <t xml:space="preserve">Média Ponderada</t>
  </si>
  <si>
    <t xml:space="preserve">Situação</t>
  </si>
  <si>
    <t xml:space="preserve">Alice Fernandes</t>
  </si>
  <si>
    <t xml:space="preserve">Bruno Cardoso</t>
  </si>
  <si>
    <t xml:space="preserve">Camila Duarte</t>
  </si>
  <si>
    <t xml:space="preserve">Daniel Pereira</t>
  </si>
  <si>
    <t xml:space="preserve">Eduarda Ramos</t>
  </si>
  <si>
    <t xml:space="preserve">Felipe Barros</t>
  </si>
  <si>
    <t xml:space="preserve">Giovanna Teixeira</t>
  </si>
  <si>
    <t xml:space="preserve">Heitor Moreira</t>
  </si>
  <si>
    <t xml:space="preserve">Isabela Correia</t>
  </si>
  <si>
    <t xml:space="preserve">João Vitor Farias</t>
  </si>
  <si>
    <t xml:space="preserve">Larissa Monteiro</t>
  </si>
  <si>
    <t xml:space="preserve">Matheus Azevedo</t>
  </si>
  <si>
    <t xml:space="preserve">Natália Pinto</t>
  </si>
  <si>
    <t xml:space="preserve">Otávio Campos</t>
  </si>
  <si>
    <t xml:space="preserve">Paula Siqueira</t>
  </si>
  <si>
    <t xml:space="preserve">Rafael Vieira</t>
  </si>
  <si>
    <t xml:space="preserve">Sabrina Lopes</t>
  </si>
  <si>
    <t xml:space="preserve">Thiago Machado</t>
  </si>
  <si>
    <t xml:space="preserve">Valentina Cunha</t>
  </si>
  <si>
    <t xml:space="preserve">William Torres</t>
  </si>
  <si>
    <t xml:space="preserve">Yasmin Batista</t>
  </si>
  <si>
    <t xml:space="preserve">Arthur Nascimento</t>
  </si>
  <si>
    <t xml:space="preserve">Beatriz Freitas</t>
  </si>
  <si>
    <t xml:space="preserve">Caio Guimarães</t>
  </si>
  <si>
    <t xml:space="preserve">Débora Castro</t>
  </si>
  <si>
    <t xml:space="preserve">Resumo da Turma</t>
  </si>
  <si>
    <t xml:space="preserve">Média da Turma</t>
  </si>
  <si>
    <t xml:space="preserve">Maior Média</t>
  </si>
  <si>
    <t xml:space="preserve">Menor Média</t>
  </si>
  <si>
    <t xml:space="preserve">Aluno com Maior Média</t>
  </si>
  <si>
    <t xml:space="preserve">Quantidade de Aprovados</t>
  </si>
  <si>
    <t xml:space="preserve">Quantidade em Recuperação</t>
  </si>
  <si>
    <t xml:space="preserve">Quantidade de Reprovados</t>
  </si>
  <si>
    <t xml:space="preserve">Otimização de Horas de Estudo (Solver)</t>
  </si>
  <si>
    <t xml:space="preserve">Aluno: distribuir as horas livres da semana entre as matérias para maximizar a média final</t>
  </si>
  <si>
    <t xml:space="preserve">Matéria</t>
  </si>
  <si>
    <t xml:space="preserve">Peso na Média</t>
  </si>
  <si>
    <t xml:space="preserve">Nota Atual</t>
  </si>
  <si>
    <t xml:space="preserve">Ganho por Hora de Estudo</t>
  </si>
  <si>
    <t xml:space="preserve">Horas Dedicadas</t>
  </si>
  <si>
    <t xml:space="preserve">Nota Estimada (máx. 10)</t>
  </si>
  <si>
    <t xml:space="preserve">Matemática</t>
  </si>
  <si>
    <t xml:space="preserve">Português</t>
  </si>
  <si>
    <t xml:space="preserve">Ciências</t>
  </si>
  <si>
    <t xml:space="preserve">História</t>
  </si>
  <si>
    <t xml:space="preserve">Geografia</t>
  </si>
  <si>
    <t xml:space="preserve">Inglês</t>
  </si>
  <si>
    <t xml:space="preserve">Total de Horas Disponíveis Nesta Semana</t>
  </si>
  <si>
    <t xml:space="preserve">Soma das Horas Dedicadas (deve ser ≤ disponível)</t>
  </si>
  <si>
    <t xml:space="preserve">MÉDIA FINAL ESTIMADA (célula de objetivo — maximizar)</t>
  </si>
  <si>
    <t xml:space="preserve">Restrições para configurar no Solver:</t>
  </si>
  <si>
    <t xml:space="preserve">• Células variáveis: E6:E11 (Horas Dedicadas)</t>
  </si>
  <si>
    <t xml:space="preserve">• Restrição 1: E14 &lt;= E13  (soma das horas não passa do disponível)</t>
  </si>
  <si>
    <t xml:space="preserve">• Restrição 2: E6:E11 &gt;= 0  (não é possível estudar horas negativas)</t>
  </si>
  <si>
    <t xml:space="preserve">• Célula de objetivo: E16, definir como Máx.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</si>
</sst>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.00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D28D9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6D28D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A6"/>
        <bgColor rgb="FFFFFFCC"/>
      </patternFill>
    </fill>
    <fill>
      <patternFill patternType="solid">
        <fgColor rgb="FFC6F0C2"/>
        <bgColor rgb="FFCCFFFF"/>
      </patternFill>
    </fill>
    <fill>
      <patternFill patternType="solid">
        <fgColor rgb="FFEDE4FF"/>
        <bgColor rgb="FFFFFFFF"/>
      </patternFill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DE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0C2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B10" s="3" t="s">
        <v>4</v>
      </c>
    </row>
    <row r="11" customFormat="false" ht="15" hidden="false" customHeight="true" outlineLevel="0" collapsed="false">
      <c r="B11" s="4" t="s">
        <v>5</v>
      </c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B12" s="4"/>
      <c r="C12" s="4"/>
      <c r="D12" s="4"/>
      <c r="E12" s="4"/>
      <c r="F12" s="4"/>
      <c r="G12" s="4"/>
      <c r="H12" s="4"/>
    </row>
    <row r="14" customFormat="false" ht="15" hidden="false" customHeight="false" outlineLevel="0" collapsed="false">
      <c r="B14" s="3" t="s">
        <v>6</v>
      </c>
    </row>
    <row r="15" customFormat="false" ht="15" hidden="false" customHeight="false" outlineLevel="0" collapsed="false">
      <c r="B15" s="5" t="s">
        <v>7</v>
      </c>
    </row>
    <row r="16" customFormat="false" ht="15" hidden="false" customHeight="false" outlineLevel="0" collapsed="false">
      <c r="B16" s="5" t="s">
        <v>8</v>
      </c>
    </row>
    <row r="17" customFormat="false" ht="15" hidden="false" customHeight="false" outlineLevel="0" collapsed="false">
      <c r="B17" s="5" t="s">
        <v>9</v>
      </c>
    </row>
    <row r="18" customFormat="false" ht="15" hidden="false" customHeight="false" outlineLevel="0" collapsed="false">
      <c r="B18" s="5" t="s">
        <v>10</v>
      </c>
    </row>
    <row r="19" customFormat="false" ht="15" hidden="false" customHeight="false" outlineLevel="0" collapsed="false">
      <c r="B19" s="5" t="s">
        <v>11</v>
      </c>
    </row>
    <row r="20" customFormat="false" ht="15" hidden="false" customHeight="false" outlineLevel="0" collapsed="false">
      <c r="B20" s="5" t="s">
        <v>12</v>
      </c>
    </row>
    <row r="21" customFormat="false" ht="15" hidden="false" customHeight="false" outlineLevel="0" collapsed="false">
      <c r="B21" s="5" t="s">
        <v>13</v>
      </c>
    </row>
    <row r="22" customFormat="false" ht="15" hidden="false" customHeight="false" outlineLevel="0" collapsed="false">
      <c r="B22" s="5" t="s">
        <v>14</v>
      </c>
    </row>
    <row r="24" customFormat="false" ht="15" hidden="false" customHeight="false" outlineLevel="0" collapsed="false">
      <c r="B24" s="3" t="s">
        <v>15</v>
      </c>
    </row>
    <row r="25" customFormat="false" ht="15" hidden="false" customHeight="false" outlineLevel="0" collapsed="false">
      <c r="B25" s="6" t="s">
        <v>16</v>
      </c>
    </row>
    <row r="26" customFormat="false" ht="15" hidden="false" customHeight="false" outlineLevel="0" collapsed="false">
      <c r="B26" s="7" t="s">
        <v>17</v>
      </c>
    </row>
  </sheetData>
  <mergeCells count="2">
    <mergeCell ref="B6:H8"/>
    <mergeCell ref="B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6"/>
  </cols>
  <sheetData>
    <row r="1" customFormat="false" ht="15" hidden="false" customHeight="false" outlineLevel="0" collapsed="false">
      <c r="B1" s="8" t="s">
        <v>18</v>
      </c>
      <c r="C1" s="9" t="n">
        <v>0.2</v>
      </c>
      <c r="D1" s="9" t="n">
        <v>0.2</v>
      </c>
      <c r="E1" s="9" t="n">
        <v>0.25</v>
      </c>
      <c r="F1" s="9" t="n">
        <v>0.35</v>
      </c>
    </row>
    <row r="2" customFormat="false" ht="15" hidden="false" customHeight="false" outlineLevel="0" collapsed="false">
      <c r="A2" s="10" t="s">
        <v>19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</row>
    <row r="3" customFormat="false" ht="15" hidden="false" customHeight="false" outlineLevel="0" collapsed="false">
      <c r="A3" s="11" t="n">
        <v>1</v>
      </c>
      <c r="B3" s="11" t="s">
        <v>27</v>
      </c>
      <c r="C3" s="12" t="n">
        <v>4.2</v>
      </c>
      <c r="D3" s="12" t="n">
        <v>7.8</v>
      </c>
      <c r="E3" s="12" t="n">
        <v>7.4</v>
      </c>
      <c r="F3" s="12" t="n">
        <v>6.4</v>
      </c>
      <c r="G3" s="13" t="n">
        <f aca="false">SUMPRODUCT(C3:F3,$C$1:$F$1)</f>
        <v>6.49</v>
      </c>
      <c r="H3" s="11" t="str">
        <f aca="false">IF(G3&gt;=7,"Aprovado",IF(G3&gt;=5,"Recuperação","Reprovado"))</f>
        <v>Recuperação</v>
      </c>
    </row>
    <row r="4" customFormat="false" ht="15" hidden="false" customHeight="false" outlineLevel="0" collapsed="false">
      <c r="A4" s="11" t="n">
        <v>2</v>
      </c>
      <c r="B4" s="11" t="s">
        <v>28</v>
      </c>
      <c r="C4" s="12" t="n">
        <v>4.5</v>
      </c>
      <c r="D4" s="12" t="n">
        <v>8.5</v>
      </c>
      <c r="E4" s="12" t="n">
        <v>8.7</v>
      </c>
      <c r="F4" s="12" t="n">
        <v>6.6</v>
      </c>
      <c r="G4" s="13" t="n">
        <f aca="false">SUMPRODUCT(C4:F4,$C$1:$F$1)</f>
        <v>7.085</v>
      </c>
      <c r="H4" s="11" t="str">
        <f aca="false">IF(G4&gt;=7,"Aprovado",IF(G4&gt;=5,"Recuperação","Reprovado"))</f>
        <v>Aprovado</v>
      </c>
    </row>
    <row r="5" customFormat="false" ht="15" hidden="false" customHeight="false" outlineLevel="0" collapsed="false">
      <c r="A5" s="11" t="n">
        <v>3</v>
      </c>
      <c r="B5" s="11" t="s">
        <v>29</v>
      </c>
      <c r="C5" s="12" t="n">
        <v>6.5</v>
      </c>
      <c r="D5" s="12" t="n">
        <v>4.7</v>
      </c>
      <c r="E5" s="12" t="n">
        <v>3</v>
      </c>
      <c r="F5" s="12" t="n">
        <v>5.6</v>
      </c>
      <c r="G5" s="13" t="n">
        <f aca="false">SUMPRODUCT(C5:F5,$C$1:$F$1)</f>
        <v>4.95</v>
      </c>
      <c r="H5" s="11" t="str">
        <f aca="false">IF(G5&gt;=7,"Aprovado",IF(G5&gt;=5,"Recuperação","Reprovado"))</f>
        <v>Reprovado</v>
      </c>
    </row>
    <row r="6" customFormat="false" ht="15" hidden="false" customHeight="false" outlineLevel="0" collapsed="false">
      <c r="A6" s="11" t="n">
        <v>4</v>
      </c>
      <c r="B6" s="11" t="s">
        <v>30</v>
      </c>
      <c r="C6" s="12" t="n">
        <v>7.1</v>
      </c>
      <c r="D6" s="12" t="n">
        <v>3.5</v>
      </c>
      <c r="E6" s="12" t="n">
        <v>8.6</v>
      </c>
      <c r="F6" s="12" t="n">
        <v>4.6</v>
      </c>
      <c r="G6" s="13" t="n">
        <f aca="false">SUMPRODUCT(C6:F6,$C$1:$F$1)</f>
        <v>5.88</v>
      </c>
      <c r="H6" s="11" t="str">
        <f aca="false">IF(G6&gt;=7,"Aprovado",IF(G6&gt;=5,"Recuperação","Reprovado"))</f>
        <v>Recuperação</v>
      </c>
    </row>
    <row r="7" customFormat="false" ht="15" hidden="false" customHeight="false" outlineLevel="0" collapsed="false">
      <c r="A7" s="11" t="n">
        <v>5</v>
      </c>
      <c r="B7" s="11" t="s">
        <v>31</v>
      </c>
      <c r="C7" s="12" t="n">
        <v>4.6</v>
      </c>
      <c r="D7" s="12" t="n">
        <v>3.3</v>
      </c>
      <c r="E7" s="12" t="n">
        <v>10</v>
      </c>
      <c r="F7" s="12" t="n">
        <v>8.2</v>
      </c>
      <c r="G7" s="13" t="n">
        <f aca="false">SUMPRODUCT(C7:F7,$C$1:$F$1)</f>
        <v>6.95</v>
      </c>
      <c r="H7" s="11" t="str">
        <f aca="false">IF(G7&gt;=7,"Aprovado",IF(G7&gt;=5,"Recuperação","Reprovado"))</f>
        <v>Recuperação</v>
      </c>
    </row>
    <row r="8" customFormat="false" ht="15" hidden="false" customHeight="false" outlineLevel="0" collapsed="false">
      <c r="A8" s="11" t="n">
        <v>6</v>
      </c>
      <c r="B8" s="11" t="s">
        <v>32</v>
      </c>
      <c r="C8" s="12" t="n">
        <v>9.1</v>
      </c>
      <c r="D8" s="12" t="n">
        <v>7.3</v>
      </c>
      <c r="E8" s="12" t="n">
        <v>3.2</v>
      </c>
      <c r="F8" s="12" t="n">
        <v>5.3</v>
      </c>
      <c r="G8" s="13" t="n">
        <f aca="false">SUMPRODUCT(C8:F8,$C$1:$F$1)</f>
        <v>5.935</v>
      </c>
      <c r="H8" s="11" t="str">
        <f aca="false">IF(G8&gt;=7,"Aprovado",IF(G8&gt;=5,"Recuperação","Reprovado"))</f>
        <v>Recuperação</v>
      </c>
    </row>
    <row r="9" customFormat="false" ht="15" hidden="false" customHeight="false" outlineLevel="0" collapsed="false">
      <c r="A9" s="11" t="n">
        <v>7</v>
      </c>
      <c r="B9" s="11" t="s">
        <v>33</v>
      </c>
      <c r="C9" s="12" t="n">
        <v>6.5</v>
      </c>
      <c r="D9" s="12" t="n">
        <v>3.8</v>
      </c>
      <c r="E9" s="12" t="n">
        <v>9.7</v>
      </c>
      <c r="F9" s="12" t="n">
        <v>5.6</v>
      </c>
      <c r="G9" s="13" t="n">
        <f aca="false">SUMPRODUCT(C9:F9,$C$1:$F$1)</f>
        <v>6.445</v>
      </c>
      <c r="H9" s="11" t="str">
        <f aca="false">IF(G9&gt;=7,"Aprovado",IF(G9&gt;=5,"Recuperação","Reprovado"))</f>
        <v>Recuperação</v>
      </c>
    </row>
    <row r="10" customFormat="false" ht="15" hidden="false" customHeight="false" outlineLevel="0" collapsed="false">
      <c r="A10" s="11" t="n">
        <v>8</v>
      </c>
      <c r="B10" s="11" t="s">
        <v>34</v>
      </c>
      <c r="C10" s="12" t="n">
        <v>4.1</v>
      </c>
      <c r="D10" s="12" t="n">
        <v>8.7</v>
      </c>
      <c r="E10" s="12" t="n">
        <v>3.9</v>
      </c>
      <c r="F10" s="12" t="n">
        <v>9.5</v>
      </c>
      <c r="G10" s="13" t="n">
        <f aca="false">SUMPRODUCT(C10:F10,$C$1:$F$1)</f>
        <v>6.86</v>
      </c>
      <c r="H10" s="11" t="str">
        <f aca="false">IF(G10&gt;=7,"Aprovado",IF(G10&gt;=5,"Recuperação","Reprovado"))</f>
        <v>Recuperação</v>
      </c>
    </row>
    <row r="11" customFormat="false" ht="15" hidden="false" customHeight="false" outlineLevel="0" collapsed="false">
      <c r="A11" s="11" t="n">
        <v>9</v>
      </c>
      <c r="B11" s="11" t="s">
        <v>35</v>
      </c>
      <c r="C11" s="12" t="n">
        <v>6.2</v>
      </c>
      <c r="D11" s="12" t="n">
        <v>6.9</v>
      </c>
      <c r="E11" s="12" t="n">
        <v>5.4</v>
      </c>
      <c r="F11" s="12" t="n">
        <v>6.4</v>
      </c>
      <c r="G11" s="13" t="n">
        <f aca="false">SUMPRODUCT(C11:F11,$C$1:$F$1)</f>
        <v>6.21</v>
      </c>
      <c r="H11" s="11" t="str">
        <f aca="false">IF(G11&gt;=7,"Aprovado",IF(G11&gt;=5,"Recuperação","Reprovado"))</f>
        <v>Recuperação</v>
      </c>
    </row>
    <row r="12" customFormat="false" ht="15" hidden="false" customHeight="false" outlineLevel="0" collapsed="false">
      <c r="A12" s="11" t="n">
        <v>10</v>
      </c>
      <c r="B12" s="11" t="s">
        <v>36</v>
      </c>
      <c r="C12" s="12" t="n">
        <v>4.3</v>
      </c>
      <c r="D12" s="12" t="n">
        <v>3.3</v>
      </c>
      <c r="E12" s="12" t="n">
        <v>9.1</v>
      </c>
      <c r="F12" s="12" t="n">
        <v>4.6</v>
      </c>
      <c r="G12" s="13" t="n">
        <f aca="false">SUMPRODUCT(C12:F12,$C$1:$F$1)</f>
        <v>5.405</v>
      </c>
      <c r="H12" s="11" t="str">
        <f aca="false">IF(G12&gt;=7,"Aprovado",IF(G12&gt;=5,"Recuperação","Reprovado"))</f>
        <v>Recuperação</v>
      </c>
    </row>
    <row r="13" customFormat="false" ht="15" hidden="false" customHeight="false" outlineLevel="0" collapsed="false">
      <c r="A13" s="11" t="n">
        <v>11</v>
      </c>
      <c r="B13" s="11" t="s">
        <v>37</v>
      </c>
      <c r="C13" s="12" t="n">
        <v>8.5</v>
      </c>
      <c r="D13" s="12" t="n">
        <v>4.5</v>
      </c>
      <c r="E13" s="12" t="n">
        <v>9.8</v>
      </c>
      <c r="F13" s="12" t="n">
        <v>9.3</v>
      </c>
      <c r="G13" s="13" t="n">
        <f aca="false">SUMPRODUCT(C13:F13,$C$1:$F$1)</f>
        <v>8.305</v>
      </c>
      <c r="H13" s="11" t="str">
        <f aca="false">IF(G13&gt;=7,"Aprovado",IF(G13&gt;=5,"Recuperação","Reprovado"))</f>
        <v>Aprovado</v>
      </c>
    </row>
    <row r="14" customFormat="false" ht="15" hidden="false" customHeight="false" outlineLevel="0" collapsed="false">
      <c r="A14" s="11" t="n">
        <v>12</v>
      </c>
      <c r="B14" s="11" t="s">
        <v>38</v>
      </c>
      <c r="C14" s="12" t="n">
        <v>8.3</v>
      </c>
      <c r="D14" s="12" t="n">
        <v>8.3</v>
      </c>
      <c r="E14" s="12" t="n">
        <v>7.1</v>
      </c>
      <c r="F14" s="12" t="n">
        <v>8.1</v>
      </c>
      <c r="G14" s="13" t="n">
        <f aca="false">SUMPRODUCT(C14:F14,$C$1:$F$1)</f>
        <v>7.93</v>
      </c>
      <c r="H14" s="11" t="str">
        <f aca="false">IF(G14&gt;=7,"Aprovado",IF(G14&gt;=5,"Recuperação","Reprovado"))</f>
        <v>Aprovado</v>
      </c>
    </row>
    <row r="15" customFormat="false" ht="15" hidden="false" customHeight="false" outlineLevel="0" collapsed="false">
      <c r="A15" s="11" t="n">
        <v>13</v>
      </c>
      <c r="B15" s="11" t="s">
        <v>39</v>
      </c>
      <c r="C15" s="12" t="n">
        <v>3.9</v>
      </c>
      <c r="D15" s="12" t="n">
        <v>6.3</v>
      </c>
      <c r="E15" s="12" t="n">
        <v>8.8</v>
      </c>
      <c r="F15" s="12" t="n">
        <v>4.4</v>
      </c>
      <c r="G15" s="13" t="n">
        <f aca="false">SUMPRODUCT(C15:F15,$C$1:$F$1)</f>
        <v>5.78</v>
      </c>
      <c r="H15" s="11" t="str">
        <f aca="false">IF(G15&gt;=7,"Aprovado",IF(G15&gt;=5,"Recuperação","Reprovado"))</f>
        <v>Recuperação</v>
      </c>
    </row>
    <row r="16" customFormat="false" ht="15" hidden="false" customHeight="false" outlineLevel="0" collapsed="false">
      <c r="A16" s="11" t="n">
        <v>14</v>
      </c>
      <c r="B16" s="11" t="s">
        <v>40</v>
      </c>
      <c r="C16" s="12" t="n">
        <v>9.5</v>
      </c>
      <c r="D16" s="12" t="n">
        <v>9.2</v>
      </c>
      <c r="E16" s="12" t="n">
        <v>5.9</v>
      </c>
      <c r="F16" s="12" t="n">
        <v>5.6</v>
      </c>
      <c r="G16" s="13" t="n">
        <f aca="false">SUMPRODUCT(C16:F16,$C$1:$F$1)</f>
        <v>7.175</v>
      </c>
      <c r="H16" s="11" t="str">
        <f aca="false">IF(G16&gt;=7,"Aprovado",IF(G16&gt;=5,"Recuperação","Reprovado"))</f>
        <v>Aprovado</v>
      </c>
    </row>
    <row r="17" customFormat="false" ht="15" hidden="false" customHeight="false" outlineLevel="0" collapsed="false">
      <c r="A17" s="11" t="n">
        <v>15</v>
      </c>
      <c r="B17" s="11" t="s">
        <v>41</v>
      </c>
      <c r="C17" s="12" t="n">
        <v>6.2</v>
      </c>
      <c r="D17" s="12" t="n">
        <v>5.7</v>
      </c>
      <c r="E17" s="12" t="n">
        <v>10</v>
      </c>
      <c r="F17" s="12" t="n">
        <v>5.7</v>
      </c>
      <c r="G17" s="13" t="n">
        <f aca="false">SUMPRODUCT(C17:F17,$C$1:$F$1)</f>
        <v>6.875</v>
      </c>
      <c r="H17" s="11" t="str">
        <f aca="false">IF(G17&gt;=7,"Aprovado",IF(G17&gt;=5,"Recuperação","Reprovado"))</f>
        <v>Recuperação</v>
      </c>
    </row>
    <row r="18" customFormat="false" ht="15" hidden="false" customHeight="false" outlineLevel="0" collapsed="false">
      <c r="A18" s="11" t="n">
        <v>16</v>
      </c>
      <c r="B18" s="11" t="s">
        <v>42</v>
      </c>
      <c r="C18" s="12" t="n">
        <v>3.2</v>
      </c>
      <c r="D18" s="12" t="n">
        <v>3.7</v>
      </c>
      <c r="E18" s="12" t="n">
        <v>8</v>
      </c>
      <c r="F18" s="12" t="n">
        <v>9.9</v>
      </c>
      <c r="G18" s="13" t="n">
        <f aca="false">SUMPRODUCT(C18:F18,$C$1:$F$1)</f>
        <v>6.845</v>
      </c>
      <c r="H18" s="11" t="str">
        <f aca="false">IF(G18&gt;=7,"Aprovado",IF(G18&gt;=5,"Recuperação","Reprovado"))</f>
        <v>Recuperação</v>
      </c>
    </row>
    <row r="19" customFormat="false" ht="15" hidden="false" customHeight="false" outlineLevel="0" collapsed="false">
      <c r="A19" s="11" t="n">
        <v>17</v>
      </c>
      <c r="B19" s="11" t="s">
        <v>43</v>
      </c>
      <c r="C19" s="12" t="n">
        <v>6.5</v>
      </c>
      <c r="D19" s="12" t="n">
        <v>6.4</v>
      </c>
      <c r="E19" s="12" t="n">
        <v>6.9</v>
      </c>
      <c r="F19" s="12" t="n">
        <v>8.2</v>
      </c>
      <c r="G19" s="13" t="n">
        <f aca="false">SUMPRODUCT(C19:F19,$C$1:$F$1)</f>
        <v>7.175</v>
      </c>
      <c r="H19" s="11" t="str">
        <f aca="false">IF(G19&gt;=7,"Aprovado",IF(G19&gt;=5,"Recuperação","Reprovado"))</f>
        <v>Aprovado</v>
      </c>
    </row>
    <row r="20" customFormat="false" ht="15" hidden="false" customHeight="false" outlineLevel="0" collapsed="false">
      <c r="A20" s="11" t="n">
        <v>18</v>
      </c>
      <c r="B20" s="11" t="s">
        <v>44</v>
      </c>
      <c r="C20" s="12" t="n">
        <v>4.6</v>
      </c>
      <c r="D20" s="12" t="n">
        <v>7.3</v>
      </c>
      <c r="E20" s="12" t="n">
        <v>6.9</v>
      </c>
      <c r="F20" s="12" t="n">
        <v>7.4</v>
      </c>
      <c r="G20" s="13" t="n">
        <f aca="false">SUMPRODUCT(C20:F20,$C$1:$F$1)</f>
        <v>6.695</v>
      </c>
      <c r="H20" s="11" t="str">
        <f aca="false">IF(G20&gt;=7,"Aprovado",IF(G20&gt;=5,"Recuperação","Reprovado"))</f>
        <v>Recuperação</v>
      </c>
    </row>
    <row r="21" customFormat="false" ht="15" hidden="false" customHeight="false" outlineLevel="0" collapsed="false">
      <c r="A21" s="11" t="n">
        <v>19</v>
      </c>
      <c r="B21" s="11" t="s">
        <v>45</v>
      </c>
      <c r="C21" s="12" t="n">
        <v>4.3</v>
      </c>
      <c r="D21" s="12" t="n">
        <v>4.2</v>
      </c>
      <c r="E21" s="12" t="n">
        <v>5.4</v>
      </c>
      <c r="F21" s="12" t="n">
        <v>9.5</v>
      </c>
      <c r="G21" s="13" t="n">
        <f aca="false">SUMPRODUCT(C21:F21,$C$1:$F$1)</f>
        <v>6.375</v>
      </c>
      <c r="H21" s="11" t="str">
        <f aca="false">IF(G21&gt;=7,"Aprovado",IF(G21&gt;=5,"Recuperação","Reprovado"))</f>
        <v>Recuperação</v>
      </c>
    </row>
    <row r="22" customFormat="false" ht="15" hidden="false" customHeight="false" outlineLevel="0" collapsed="false">
      <c r="A22" s="11" t="n">
        <v>20</v>
      </c>
      <c r="B22" s="11" t="s">
        <v>46</v>
      </c>
      <c r="C22" s="12" t="n">
        <v>5.4</v>
      </c>
      <c r="D22" s="12" t="n">
        <v>7.2</v>
      </c>
      <c r="E22" s="12" t="n">
        <v>5.1</v>
      </c>
      <c r="F22" s="12" t="n">
        <v>3.7</v>
      </c>
      <c r="G22" s="13" t="n">
        <f aca="false">SUMPRODUCT(C22:F22,$C$1:$F$1)</f>
        <v>5.09</v>
      </c>
      <c r="H22" s="11" t="str">
        <f aca="false">IF(G22&gt;=7,"Aprovado",IF(G22&gt;=5,"Recuperação","Reprovado"))</f>
        <v>Recuperação</v>
      </c>
    </row>
    <row r="23" customFormat="false" ht="15" hidden="false" customHeight="false" outlineLevel="0" collapsed="false">
      <c r="A23" s="11" t="n">
        <v>21</v>
      </c>
      <c r="B23" s="11" t="s">
        <v>47</v>
      </c>
      <c r="C23" s="12" t="n">
        <v>3.5</v>
      </c>
      <c r="D23" s="12" t="n">
        <v>8.7</v>
      </c>
      <c r="E23" s="12" t="n">
        <v>8.4</v>
      </c>
      <c r="F23" s="12" t="n">
        <v>5.6</v>
      </c>
      <c r="G23" s="13" t="n">
        <f aca="false">SUMPRODUCT(C23:F23,$C$1:$F$1)</f>
        <v>6.5</v>
      </c>
      <c r="H23" s="11" t="str">
        <f aca="false">IF(G23&gt;=7,"Aprovado",IF(G23&gt;=5,"Recuperação","Reprovado"))</f>
        <v>Recuperação</v>
      </c>
    </row>
    <row r="24" customFormat="false" ht="15" hidden="false" customHeight="false" outlineLevel="0" collapsed="false">
      <c r="A24" s="11" t="n">
        <v>22</v>
      </c>
      <c r="B24" s="11" t="s">
        <v>48</v>
      </c>
      <c r="C24" s="12" t="n">
        <v>7.8</v>
      </c>
      <c r="D24" s="12" t="n">
        <v>7.7</v>
      </c>
      <c r="E24" s="12" t="n">
        <v>9.3</v>
      </c>
      <c r="F24" s="12" t="n">
        <v>9.7</v>
      </c>
      <c r="G24" s="13" t="n">
        <f aca="false">SUMPRODUCT(C24:F24,$C$1:$F$1)</f>
        <v>8.82</v>
      </c>
      <c r="H24" s="11" t="str">
        <f aca="false">IF(G24&gt;=7,"Aprovado",IF(G24&gt;=5,"Recuperação","Reprovado"))</f>
        <v>Aprovado</v>
      </c>
    </row>
    <row r="25" customFormat="false" ht="15" hidden="false" customHeight="false" outlineLevel="0" collapsed="false">
      <c r="A25" s="11" t="n">
        <v>23</v>
      </c>
      <c r="B25" s="11" t="s">
        <v>49</v>
      </c>
      <c r="C25" s="12" t="n">
        <v>5.8</v>
      </c>
      <c r="D25" s="12" t="n">
        <v>9.9</v>
      </c>
      <c r="E25" s="12" t="n">
        <v>9.7</v>
      </c>
      <c r="F25" s="12" t="n">
        <v>7.1</v>
      </c>
      <c r="G25" s="13" t="n">
        <f aca="false">SUMPRODUCT(C25:F25,$C$1:$F$1)</f>
        <v>8.05</v>
      </c>
      <c r="H25" s="11" t="str">
        <f aca="false">IF(G25&gt;=7,"Aprovado",IF(G25&gt;=5,"Recuperação","Reprovado"))</f>
        <v>Aprovado</v>
      </c>
    </row>
    <row r="26" customFormat="false" ht="15" hidden="false" customHeight="false" outlineLevel="0" collapsed="false">
      <c r="A26" s="11" t="n">
        <v>24</v>
      </c>
      <c r="B26" s="11" t="s">
        <v>50</v>
      </c>
      <c r="C26" s="12" t="n">
        <v>9.2</v>
      </c>
      <c r="D26" s="12" t="n">
        <v>6.4</v>
      </c>
      <c r="E26" s="12" t="n">
        <v>5.6</v>
      </c>
      <c r="F26" s="12" t="n">
        <v>4.7</v>
      </c>
      <c r="G26" s="13" t="n">
        <f aca="false">SUMPRODUCT(C26:F26,$C$1:$F$1)</f>
        <v>6.165</v>
      </c>
      <c r="H26" s="11" t="str">
        <f aca="false">IF(G26&gt;=7,"Aprovado",IF(G26&gt;=5,"Recuperação","Reprovado"))</f>
        <v>Recuperação</v>
      </c>
    </row>
    <row r="27" customFormat="false" ht="15" hidden="false" customHeight="false" outlineLevel="0" collapsed="false">
      <c r="A27" s="11" t="n">
        <v>25</v>
      </c>
      <c r="B27" s="11" t="s">
        <v>51</v>
      </c>
      <c r="C27" s="12" t="n">
        <v>9.1</v>
      </c>
      <c r="D27" s="12" t="n">
        <v>4.1</v>
      </c>
      <c r="E27" s="12" t="n">
        <v>3.5</v>
      </c>
      <c r="F27" s="12" t="n">
        <v>8.6</v>
      </c>
      <c r="G27" s="13" t="n">
        <f aca="false">SUMPRODUCT(C27:F27,$C$1:$F$1)</f>
        <v>6.525</v>
      </c>
      <c r="H27" s="11" t="str">
        <f aca="false">IF(G27&gt;=7,"Aprovado",IF(G27&gt;=5,"Recuperação","Reprovado"))</f>
        <v>Recuperação</v>
      </c>
    </row>
    <row r="29" customFormat="false" ht="15" hidden="false" customHeight="false" outlineLevel="0" collapsed="false">
      <c r="B29" s="3" t="s">
        <v>52</v>
      </c>
    </row>
    <row r="30" customFormat="false" ht="15" hidden="false" customHeight="false" outlineLevel="0" collapsed="false">
      <c r="B30" s="8" t="s">
        <v>53</v>
      </c>
      <c r="D30" s="13" t="n">
        <f aca="false">AVERAGE(G3:G27)</f>
        <v>6.6606</v>
      </c>
    </row>
    <row r="31" customFormat="false" ht="15" hidden="false" customHeight="false" outlineLevel="0" collapsed="false">
      <c r="B31" s="8" t="s">
        <v>54</v>
      </c>
      <c r="D31" s="13" t="n">
        <f aca="false">MAX(G3:G27)</f>
        <v>8.82</v>
      </c>
    </row>
    <row r="32" customFormat="false" ht="15" hidden="false" customHeight="false" outlineLevel="0" collapsed="false">
      <c r="B32" s="8" t="s">
        <v>55</v>
      </c>
      <c r="D32" s="13" t="n">
        <f aca="false">MIN(G3:G27)</f>
        <v>4.95</v>
      </c>
    </row>
    <row r="33" customFormat="false" ht="15" hidden="false" customHeight="false" outlineLevel="0" collapsed="false">
      <c r="B33" s="8" t="s">
        <v>56</v>
      </c>
      <c r="D33" s="11" t="str">
        <f aca="false">INDEX(B3:B27,MATCH(MAX(G3:G27),G3:G27,0))</f>
        <v>Arthur Nascimento</v>
      </c>
    </row>
    <row r="34" customFormat="false" ht="15" hidden="false" customHeight="false" outlineLevel="0" collapsed="false">
      <c r="B34" s="8" t="s">
        <v>57</v>
      </c>
      <c r="D34" s="14" t="n">
        <f aca="false">COUNTIF(H3:H27,"Aprovado")</f>
        <v>7</v>
      </c>
    </row>
    <row r="35" customFormat="false" ht="15" hidden="false" customHeight="false" outlineLevel="0" collapsed="false">
      <c r="B35" s="8" t="s">
        <v>58</v>
      </c>
      <c r="D35" s="14" t="n">
        <f aca="false">COUNTIF(H3:H27,"Recuperação")</f>
        <v>17</v>
      </c>
    </row>
    <row r="36" customFormat="false" ht="15" hidden="false" customHeight="false" outlineLevel="0" collapsed="false">
      <c r="B36" s="8" t="s">
        <v>59</v>
      </c>
      <c r="D36" s="14" t="n">
        <f aca="false">COUNTIF(H3:H27,"Reprovado")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</cols>
  <sheetData>
    <row r="2" customFormat="false" ht="19.7" hidden="false" customHeight="fals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5" customFormat="false" ht="15" hidden="false" customHeight="false" outlineLevel="0" collapsed="false">
      <c r="A5" s="10" t="s">
        <v>62</v>
      </c>
      <c r="B5" s="10" t="s">
        <v>63</v>
      </c>
      <c r="C5" s="10" t="s">
        <v>64</v>
      </c>
      <c r="D5" s="10" t="s">
        <v>65</v>
      </c>
      <c r="E5" s="10" t="s">
        <v>66</v>
      </c>
      <c r="F5" s="10" t="s">
        <v>67</v>
      </c>
    </row>
    <row r="6" customFormat="false" ht="15" hidden="false" customHeight="false" outlineLevel="0" collapsed="false">
      <c r="A6" s="11" t="s">
        <v>68</v>
      </c>
      <c r="B6" s="15" t="n">
        <v>0.2</v>
      </c>
      <c r="C6" s="12" t="n">
        <v>5.5</v>
      </c>
      <c r="D6" s="13" t="n">
        <v>0.35</v>
      </c>
      <c r="E6" s="16" t="n">
        <v>0</v>
      </c>
      <c r="F6" s="13" t="n">
        <f aca="false">MIN(10,C6+E6*D6)</f>
        <v>5.5</v>
      </c>
    </row>
    <row r="7" customFormat="false" ht="15" hidden="false" customHeight="false" outlineLevel="0" collapsed="false">
      <c r="A7" s="11" t="s">
        <v>69</v>
      </c>
      <c r="B7" s="15" t="n">
        <v>0.2</v>
      </c>
      <c r="C7" s="12" t="n">
        <v>6.5</v>
      </c>
      <c r="D7" s="13" t="n">
        <v>0.2</v>
      </c>
      <c r="E7" s="16" t="n">
        <v>0</v>
      </c>
      <c r="F7" s="13" t="n">
        <f aca="false">MIN(10,C7+E7*D7)</f>
        <v>6.5</v>
      </c>
    </row>
    <row r="8" customFormat="false" ht="15" hidden="false" customHeight="false" outlineLevel="0" collapsed="false">
      <c r="A8" s="11" t="s">
        <v>70</v>
      </c>
      <c r="B8" s="15" t="n">
        <v>0.15</v>
      </c>
      <c r="C8" s="12" t="n">
        <v>7</v>
      </c>
      <c r="D8" s="13" t="n">
        <v>0.25</v>
      </c>
      <c r="E8" s="16" t="n">
        <v>0</v>
      </c>
      <c r="F8" s="13" t="n">
        <f aca="false">MIN(10,C8+E8*D8)</f>
        <v>7</v>
      </c>
    </row>
    <row r="9" customFormat="false" ht="15" hidden="false" customHeight="false" outlineLevel="0" collapsed="false">
      <c r="A9" s="11" t="s">
        <v>71</v>
      </c>
      <c r="B9" s="15" t="n">
        <v>0.15</v>
      </c>
      <c r="C9" s="12" t="n">
        <v>6</v>
      </c>
      <c r="D9" s="13" t="n">
        <v>0.15</v>
      </c>
      <c r="E9" s="16" t="n">
        <v>0</v>
      </c>
      <c r="F9" s="13" t="n">
        <f aca="false">MIN(10,C9+E9*D9)</f>
        <v>6</v>
      </c>
    </row>
    <row r="10" customFormat="false" ht="15" hidden="false" customHeight="false" outlineLevel="0" collapsed="false">
      <c r="A10" s="11" t="s">
        <v>72</v>
      </c>
      <c r="B10" s="15" t="n">
        <v>0.15</v>
      </c>
      <c r="C10" s="12" t="n">
        <v>5</v>
      </c>
      <c r="D10" s="13" t="n">
        <v>0.2</v>
      </c>
      <c r="E10" s="16" t="n">
        <v>0</v>
      </c>
      <c r="F10" s="13" t="n">
        <f aca="false">MIN(10,C10+E10*D10)</f>
        <v>5</v>
      </c>
    </row>
    <row r="11" customFormat="false" ht="15" hidden="false" customHeight="false" outlineLevel="0" collapsed="false">
      <c r="A11" s="11" t="s">
        <v>73</v>
      </c>
      <c r="B11" s="15" t="n">
        <v>0.15</v>
      </c>
      <c r="C11" s="12" t="n">
        <v>8</v>
      </c>
      <c r="D11" s="13" t="n">
        <v>0.3</v>
      </c>
      <c r="E11" s="16" t="n">
        <v>0</v>
      </c>
      <c r="F11" s="13" t="n">
        <f aca="false">MIN(10,C11+E11*D11)</f>
        <v>8</v>
      </c>
    </row>
    <row r="13" customFormat="false" ht="15" hidden="false" customHeight="false" outlineLevel="0" collapsed="false">
      <c r="A13" s="8" t="s">
        <v>74</v>
      </c>
      <c r="E13" s="17" t="n">
        <v>15</v>
      </c>
    </row>
    <row r="14" customFormat="false" ht="15" hidden="false" customHeight="false" outlineLevel="0" collapsed="false">
      <c r="A14" s="8" t="s">
        <v>75</v>
      </c>
      <c r="E14" s="12" t="n">
        <f aca="false">SUM(E6:E11)</f>
        <v>0</v>
      </c>
    </row>
    <row r="16" customFormat="false" ht="15" hidden="false" customHeight="false" outlineLevel="0" collapsed="false">
      <c r="A16" s="8" t="s">
        <v>76</v>
      </c>
      <c r="E16" s="18" t="n">
        <f aca="false">SUMPRODUCT(B6:B11,F6:F11)</f>
        <v>6.3</v>
      </c>
    </row>
    <row r="18" customFormat="false" ht="15" hidden="false" customHeight="false" outlineLevel="0" collapsed="false">
      <c r="A18" s="3" t="s">
        <v>77</v>
      </c>
    </row>
    <row r="19" customFormat="false" ht="15" hidden="false" customHeight="false" outlineLevel="0" collapsed="false">
      <c r="A19" s="5" t="s">
        <v>78</v>
      </c>
    </row>
    <row r="20" customFormat="false" ht="15" hidden="false" customHeight="false" outlineLevel="0" collapsed="false">
      <c r="A20" s="5" t="s">
        <v>79</v>
      </c>
    </row>
    <row r="21" customFormat="false" ht="15" hidden="false" customHeight="false" outlineLevel="0" collapsed="false">
      <c r="A21" s="5" t="s">
        <v>80</v>
      </c>
    </row>
    <row r="22" customFormat="false" ht="15" hidden="false" customHeight="false" outlineLevel="0" collapsed="false">
      <c r="A22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2026-08-06T20:10:17Z</dcterms:created>
  <dc:creator>openpyxl</dc:creator>
  <dc:description/>
  <dc:language>en-US</dc:language>
  <cp:lastModifiedBy/>
  <dcterms:modified xsi:type="dcterms:W3CDTF">2026-08-06T20:10:17Z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
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Vendas" sheetId="2" state="visible" r:id="rId4"/>
    <sheet name="Resum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<sst xmlns="http://schemas.openxmlformats.org/spreadsheetml/2006/main" count="225" uniqueCount="119">
  <si>
    <t xml:space="preserve">EXCEL AVANÇADO — Controle de Vendas e Comissões</t>
  </si>
  <si>
    <t xml:space="preserve">Atividade de cálculo avançado com fórmulas condicionais aninhadas</t>
  </si>
  <si>
    <t xml:space="preserve">Objetivo</t>
  </si>
  <si>
    <t xml:space="preserve">Completar, na aba "Vendas", as fórmulas que calculam automaticamente o desconto, a comissão e o total líquido de cada venda, e depois resumir os resultados por vendedor na aba "Resumo".</t>
  </si>
  <si>
    <t xml:space="preserve">Regras de Desconto (sobre o Subtotal, conforme a Quantidade vendida)</t>
  </si>
  <si>
    <t xml:space="preserve">•  Quantidade ≥ 50 unidades</t>
  </si>
  <si>
    <t xml:space="preserve">15% de desconto</t>
  </si>
  <si>
    <t xml:space="preserve">•  Quantidade ≥ 20 unidades</t>
  </si>
  <si>
    <t xml:space="preserve">10% de desconto</t>
  </si>
  <si>
    <t xml:space="preserve">•  Quantidade ≥ 10 unidades</t>
  </si>
  <si>
    <t xml:space="preserve">5% de desconto</t>
  </si>
  <si>
    <t xml:space="preserve">•  Quantidade &lt; 10 unidades</t>
  </si>
  <si>
    <t xml:space="preserve">0% (sem desconto)</t>
  </si>
  <si>
    <t xml:space="preserve">Regras de Comissão (sobre o Valor com Desconto)</t>
  </si>
  <si>
    <t xml:space="preserve">•  Valor com desconto ≥ R$ 5.000</t>
  </si>
  <si>
    <t xml:space="preserve">12% de comissão</t>
  </si>
  <si>
    <t xml:space="preserve">•  Valor com desconto ≥ R$ 2.000</t>
  </si>
  <si>
    <t xml:space="preserve">8% de comissão</t>
  </si>
  <si>
    <t xml:space="preserve">•  Valor com desconto ≥ R$ 500</t>
  </si>
  <si>
    <t xml:space="preserve">5% de comissão</t>
  </si>
  <si>
    <t xml:space="preserve">•  Valor com desconto &lt; R$ 500</t>
  </si>
  <si>
    <t xml:space="preserve">3% de comissão</t>
  </si>
  <si>
    <t xml:space="preserve">O que fazer</t>
  </si>
  <si>
    <t xml:space="preserve">1. Na aba "Vendas", a linha 2 já está pronta como EXEMPLO (fundo verde-claro) — estude as fórmulas dela.</t>
  </si>
  <si>
    <t xml:space="preserve">2. Complete as células destacadas em AMARELO (linhas 3 a 41) repetindo a lógica do exemplo.</t>
  </si>
  <si>
    <t xml:space="preserve">3. Use SE (aninhado) para Desconto (%) e para Comissão (%), seguindo as faixas acima.</t>
  </si>
  <si>
    <t xml:space="preserve">4. Na aba "Resumo", complete a tabela por vendedor usando SOMASE, MÉDIA, MÁXIMO e ÍNDICE/CORRESP.</t>
  </si>
  <si>
    <t xml:space="preserve">Legenda de cores</t>
  </si>
  <si>
    <t xml:space="preserve">  Verde-claro = exemplo já resolvido, para você estudar</t>
  </si>
  <si>
    <t xml:space="preserve">  Amarelo = célula que você precisa preencher com fórmula</t>
  </si>
  <si>
    <t xml:space="preserve">Nº</t>
  </si>
  <si>
    <t xml:space="preserve">Data</t>
  </si>
  <si>
    <t xml:space="preserve">Vendedor</t>
  </si>
  <si>
    <t xml:space="preserve">Categoria</t>
  </si>
  <si>
    <t xml:space="preserve">Produto</t>
  </si>
  <si>
    <t xml:space="preserve">Quantidade</t>
  </si>
  <si>
    <t xml:space="preserve">Preço Unitário (R$)</t>
  </si>
  <si>
    <t xml:space="preserve">Subtotal (R$)</t>
  </si>
  <si>
    <t xml:space="preserve">Desconto (%)</t>
  </si>
  <si>
    <t xml:space="preserve">Valor do Desconto (R$)</t>
  </si>
  <si>
    <t xml:space="preserve">Valor com Desconto (R$)</t>
  </si>
  <si>
    <t xml:space="preserve">Comissão (%)</t>
  </si>
  <si>
    <t xml:space="preserve">Valor da Comissão (R$)</t>
  </si>
  <si>
    <t xml:space="preserve">Total Líquido Empresa (R$)</t>
  </si>
  <si>
    <t xml:space="preserve">05/01/2026</t>
  </si>
  <si>
    <t xml:space="preserve">Fernanda Alves</t>
  </si>
  <si>
    <t xml:space="preserve">Informática</t>
  </si>
  <si>
    <t xml:space="preserve">Webcam Full HD</t>
  </si>
  <si>
    <t xml:space="preserve">Tatiane Rocha</t>
  </si>
  <si>
    <t xml:space="preserve">HD Externo 1TB</t>
  </si>
  <si>
    <t xml:space="preserve">06/01/2026</t>
  </si>
  <si>
    <t xml:space="preserve">Juliana Martins</t>
  </si>
  <si>
    <t xml:space="preserve">Casa</t>
  </si>
  <si>
    <t xml:space="preserve">Jogo de Cama Casal</t>
  </si>
  <si>
    <t xml:space="preserve">07/01/2026</t>
  </si>
  <si>
    <t xml:space="preserve">Carlos Eduardo Lima</t>
  </si>
  <si>
    <t xml:space="preserve">Papelaria</t>
  </si>
  <si>
    <t xml:space="preserve">Kit de Canetas</t>
  </si>
  <si>
    <t xml:space="preserve">13/01/2026</t>
  </si>
  <si>
    <t xml:space="preserve">Patrícia Gomes</t>
  </si>
  <si>
    <t xml:space="preserve">Eletrônicos</t>
  </si>
  <si>
    <t xml:space="preserve">Carregador Turbo</t>
  </si>
  <si>
    <t xml:space="preserve">Vestuário</t>
  </si>
  <si>
    <t xml:space="preserve">Camiseta Básica</t>
  </si>
  <si>
    <t xml:space="preserve">15/01/2026</t>
  </si>
  <si>
    <t xml:space="preserve">Gustavo Ribeiro</t>
  </si>
  <si>
    <t xml:space="preserve">Fone de Ouvido Bluetooth</t>
  </si>
  <si>
    <t xml:space="preserve">16/01/2026</t>
  </si>
  <si>
    <t xml:space="preserve">18/01/2026</t>
  </si>
  <si>
    <t xml:space="preserve">Cabo HDMI 2m</t>
  </si>
  <si>
    <t xml:space="preserve">19/01/2026</t>
  </si>
  <si>
    <t xml:space="preserve">Mouse sem Fio</t>
  </si>
  <si>
    <t xml:space="preserve">Rafael Nogueira</t>
  </si>
  <si>
    <t xml:space="preserve">Tênis Esportivo</t>
  </si>
  <si>
    <t xml:space="preserve">20/01/2026</t>
  </si>
  <si>
    <t xml:space="preserve">24/01/2026</t>
  </si>
  <si>
    <t xml:space="preserve">Vinícius Andrade</t>
  </si>
  <si>
    <t xml:space="preserve">29/01/2026</t>
  </si>
  <si>
    <t xml:space="preserve">Marcos Paulo Costa</t>
  </si>
  <si>
    <t xml:space="preserve">31/01/2026</t>
  </si>
  <si>
    <t xml:space="preserve">01/02/2026</t>
  </si>
  <si>
    <t xml:space="preserve">Ana Beatriz Souza</t>
  </si>
  <si>
    <t xml:space="preserve">Jogo de Panelas</t>
  </si>
  <si>
    <t xml:space="preserve">Mochila Escolar</t>
  </si>
  <si>
    <t xml:space="preserve">02/02/2026</t>
  </si>
  <si>
    <t xml:space="preserve">Meia Kit c/ 3</t>
  </si>
  <si>
    <t xml:space="preserve">03/02/2026</t>
  </si>
  <si>
    <t xml:space="preserve">Jaqueta Corta-Vento</t>
  </si>
  <si>
    <t xml:space="preserve">04/02/2026</t>
  </si>
  <si>
    <t xml:space="preserve">Teclado Mecânico</t>
  </si>
  <si>
    <t xml:space="preserve">07/02/2026</t>
  </si>
  <si>
    <t xml:space="preserve">Organizador Multiuso</t>
  </si>
  <si>
    <t xml:space="preserve">08/02/2026</t>
  </si>
  <si>
    <t xml:space="preserve">17/02/2026</t>
  </si>
  <si>
    <t xml:space="preserve">19/02/2026</t>
  </si>
  <si>
    <t xml:space="preserve">20/02/2026</t>
  </si>
  <si>
    <t xml:space="preserve">Boné Ajustável</t>
  </si>
  <si>
    <t xml:space="preserve">28/02/2026</t>
  </si>
  <si>
    <t xml:space="preserve">03/03/2026</t>
  </si>
  <si>
    <t xml:space="preserve">Agenda Anual</t>
  </si>
  <si>
    <t xml:space="preserve">04/03/2026</t>
  </si>
  <si>
    <t xml:space="preserve">Caderno Universitário</t>
  </si>
  <si>
    <t xml:space="preserve">14/03/2026</t>
  </si>
  <si>
    <t xml:space="preserve">Pendrive 64GB</t>
  </si>
  <si>
    <t xml:space="preserve">16/03/2026</t>
  </si>
  <si>
    <t xml:space="preserve">17/03/2026</t>
  </si>
  <si>
    <t xml:space="preserve">21/03/2026</t>
  </si>
  <si>
    <t xml:space="preserve">22/03/2026</t>
  </si>
  <si>
    <t xml:space="preserve">29/03/2026</t>
  </si>
  <si>
    <t xml:space="preserve">Resumo por Vendedor</t>
  </si>
  <si>
    <t xml:space="preserve">Qtde. de Vendas</t>
  </si>
  <si>
    <t xml:space="preserve">Total Vendido (R$)</t>
  </si>
  <si>
    <t xml:space="preserve">Comissão Total (R$)</t>
  </si>
  <si>
    <t xml:space="preserve">Ticket Médio (R$)</t>
  </si>
  <si>
    <t xml:space="preserve">Totais Gerais e Destaques</t>
  </si>
  <si>
    <t xml:space="preserve">Total Geral Vendido (R$)</t>
  </si>
  <si>
    <t xml:space="preserve">Comissão Total Paga (R$)</t>
  </si>
  <si>
    <t xml:space="preserve">Maior Venda Individual (R$)</t>
  </si>
  <si>
    <t xml:space="preserve">Vendedor Campeão (maior total vendido)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</si>
</sst>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"/>
    <numFmt numFmtId="166" formatCode="0%"/>
    <numFmt numFmtId="167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5132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2"/>
      <color rgb="FF0F5132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8DE"/>
        <bgColor rgb="FFCCFFFF"/>
      </patternFill>
    </fill>
    <fill>
      <patternFill patternType="solid">
        <fgColor rgb="FFFFF2A6"/>
        <bgColor rgb="FFFFFFCC"/>
      </patternFill>
    </fill>
    <fill>
      <patternFill patternType="solid">
        <fgColor rgb="FF0F5132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8DE"/>
      <rgbColor rgb="FFFFF2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F5132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4" min="3" style="0" width="14"/>
    <col collapsed="false" customWidth="true" hidden="false" outlineLevel="0" max="5" min="5" style="0" width="22"/>
    <col collapsed="false" customWidth="true" hidden="false" outlineLevel="0" max="8" min="6" style="0" width="14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true" outlineLevel="0" collapsed="false">
      <c r="B6" s="4" t="s">
        <v>3</v>
      </c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B8" s="4"/>
      <c r="C8" s="4"/>
      <c r="D8" s="4"/>
      <c r="E8" s="4"/>
      <c r="F8" s="4"/>
      <c r="G8" s="4"/>
      <c r="H8" s="4"/>
    </row>
    <row r="10" customFormat="false" ht="15" hidden="false" customHeight="false" outlineLevel="0" collapsed="false">
      <c r="B10" s="3" t="s">
        <v>4</v>
      </c>
    </row>
    <row r="11" customFormat="false" ht="15" hidden="false" customHeight="false" outlineLevel="0" collapsed="false">
      <c r="B11" s="5" t="s">
        <v>5</v>
      </c>
      <c r="E11" s="6" t="s">
        <v>6</v>
      </c>
    </row>
    <row r="12" customFormat="false" ht="15" hidden="false" customHeight="false" outlineLevel="0" collapsed="false">
      <c r="B12" s="5" t="s">
        <v>7</v>
      </c>
      <c r="E12" s="6" t="s">
        <v>8</v>
      </c>
    </row>
    <row r="13" customFormat="false" ht="15" hidden="false" customHeight="false" outlineLevel="0" collapsed="false">
      <c r="B13" s="5" t="s">
        <v>9</v>
      </c>
      <c r="E13" s="6" t="s">
        <v>10</v>
      </c>
    </row>
    <row r="14" customFormat="false" ht="15" hidden="false" customHeight="false" outlineLevel="0" collapsed="false">
      <c r="B14" s="5" t="s">
        <v>11</v>
      </c>
      <c r="E14" s="6" t="s">
        <v>12</v>
      </c>
    </row>
    <row r="16" customFormat="false" ht="15" hidden="false" customHeight="false" outlineLevel="0" collapsed="false">
      <c r="B16" s="3" t="s">
        <v>13</v>
      </c>
    </row>
    <row r="17" customFormat="false" ht="15" hidden="false" customHeight="false" outlineLevel="0" collapsed="false">
      <c r="B17" s="5" t="s">
        <v>14</v>
      </c>
      <c r="E17" s="6" t="s">
        <v>15</v>
      </c>
    </row>
    <row r="18" customFormat="false" ht="15" hidden="false" customHeight="false" outlineLevel="0" collapsed="false">
      <c r="B18" s="5" t="s">
        <v>16</v>
      </c>
      <c r="E18" s="6" t="s">
        <v>17</v>
      </c>
    </row>
    <row r="19" customFormat="false" ht="15" hidden="false" customHeight="false" outlineLevel="0" collapsed="false">
      <c r="B19" s="5" t="s">
        <v>18</v>
      </c>
      <c r="E19" s="6" t="s">
        <v>19</v>
      </c>
    </row>
    <row r="20" customFormat="false" ht="15" hidden="false" customHeight="false" outlineLevel="0" collapsed="false">
      <c r="B20" s="5" t="s">
        <v>20</v>
      </c>
      <c r="E20" s="6" t="s">
        <v>21</v>
      </c>
    </row>
    <row r="22" customFormat="false" ht="15" hidden="false" customHeight="false" outlineLevel="0" collapsed="false">
      <c r="B22" s="3" t="s">
        <v>22</v>
      </c>
    </row>
    <row r="23" customFormat="false" ht="15" hidden="false" customHeight="false" outlineLevel="0" collapsed="false">
      <c r="B23" s="5" t="s">
        <v>23</v>
      </c>
    </row>
    <row r="24" customFormat="false" ht="15" hidden="false" customHeight="false" outlineLevel="0" collapsed="false">
      <c r="B24" s="5" t="s">
        <v>24</v>
      </c>
    </row>
    <row r="25" customFormat="false" ht="15" hidden="false" customHeight="false" outlineLevel="0" collapsed="false">
      <c r="B25" s="5" t="s">
        <v>25</v>
      </c>
    </row>
    <row r="26" customFormat="false" ht="15" hidden="false" customHeight="false" outlineLevel="0" collapsed="false">
      <c r="B26" s="5" t="s">
        <v>26</v>
      </c>
    </row>
    <row r="28" customFormat="false" ht="15" hidden="false" customHeight="false" outlineLevel="0" collapsed="false">
      <c r="B28" s="3" t="s">
        <v>27</v>
      </c>
    </row>
    <row r="29" customFormat="false" ht="15" hidden="false" customHeight="false" outlineLevel="0" collapsed="false">
      <c r="B29" s="7" t="s">
        <v>28</v>
      </c>
    </row>
    <row r="30" customFormat="false" ht="15" hidden="false" customHeight="false" outlineLevel="0" collapsed="false">
      <c r="B30" s="8" t="s">
        <v>29</v>
      </c>
    </row>
  </sheetData>
  <mergeCells count="1">
    <mergeCell ref="B6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4" min="14" style="0" width="20"/>
  </cols>
  <sheetData>
    <row r="1" customFormat="false" ht="26.85" hidden="false" customHeight="false" outlineLevel="0" collapsed="false">
      <c r="A1" s="9" t="s">
        <v>30</v>
      </c>
      <c r="B1" s="9" t="s">
        <v>31</v>
      </c>
      <c r="C1" s="9" t="s">
        <v>32</v>
      </c>
      <c r="D1" s="9" t="s">
        <v>33</v>
      </c>
      <c r="E1" s="9" t="s">
        <v>34</v>
      </c>
      <c r="F1" s="9" t="s">
        <v>35</v>
      </c>
      <c r="G1" s="9" t="s">
        <v>36</v>
      </c>
      <c r="H1" s="9" t="s">
        <v>37</v>
      </c>
      <c r="I1" s="9" t="s">
        <v>38</v>
      </c>
      <c r="J1" s="9" t="s">
        <v>39</v>
      </c>
      <c r="K1" s="9" t="s">
        <v>40</v>
      </c>
      <c r="L1" s="9" t="s">
        <v>41</v>
      </c>
      <c r="M1" s="9" t="s">
        <v>42</v>
      </c>
      <c r="N1" s="9" t="s">
        <v>43</v>
      </c>
    </row>
    <row r="2" customFormat="false" ht="15" hidden="false" customHeight="false" outlineLevel="0" collapsed="false">
      <c r="A2" s="10" t="n">
        <v>1</v>
      </c>
      <c r="B2" s="10" t="s">
        <v>44</v>
      </c>
      <c r="C2" s="10" t="s">
        <v>45</v>
      </c>
      <c r="D2" s="10" t="s">
        <v>46</v>
      </c>
      <c r="E2" s="10" t="s">
        <v>47</v>
      </c>
      <c r="F2" s="10" t="n">
        <v>55</v>
      </c>
      <c r="G2" s="11" t="n">
        <v>149.9</v>
      </c>
      <c r="H2" s="12" t="n">
        <f aca="false">F2*G2</f>
        <v>8244.5</v>
      </c>
      <c r="I2" s="13" t="n">
        <f aca="false">IF(F2&gt;=50,0.15,IF(F2&gt;=20,0.1,IF(F2&gt;=10,0.05,0)))</f>
        <v>0.15</v>
      </c>
      <c r="J2" s="12" t="n">
        <f aca="false">H2*I2</f>
        <v>1236.675</v>
      </c>
      <c r="K2" s="12" t="n">
        <f aca="false">H2-J2</f>
        <v>7007.825</v>
      </c>
      <c r="L2" s="13" t="n">
        <f aca="false">IF(K2&gt;=5000,0.12,IF(K2&gt;=2000,0.08,IF(K2&gt;=500,0.05,0.03)))</f>
        <v>0.12</v>
      </c>
      <c r="M2" s="12" t="n">
        <f aca="false">K2*L2</f>
        <v>840.939</v>
      </c>
      <c r="N2" s="12" t="n">
        <f aca="false">K2-M2</f>
        <v>6166.886</v>
      </c>
    </row>
    <row r="3" customFormat="false" ht="15" hidden="false" customHeight="false" outlineLevel="0" collapsed="false">
      <c r="A3" s="10" t="n">
        <v>2</v>
      </c>
      <c r="B3" s="10" t="s">
        <v>44</v>
      </c>
      <c r="C3" s="10" t="s">
        <v>48</v>
      </c>
      <c r="D3" s="10" t="s">
        <v>46</v>
      </c>
      <c r="E3" s="10" t="s">
        <v>49</v>
      </c>
      <c r="F3" s="10" t="n">
        <v>3</v>
      </c>
      <c r="G3" s="11" t="n">
        <v>289.9</v>
      </c>
      <c r="H3" s="14" t="n">
        <f aca="false">F3*G3</f>
        <v>869.7</v>
      </c>
      <c r="I3" s="15" t="n">
        <f aca="false">IF(F3&gt;=50,0.15,IF(F3&gt;=20,0.1,IF(F3&gt;=10,0.05,0)))</f>
        <v>0</v>
      </c>
      <c r="J3" s="14" t="n">
        <f aca="false">H3*I3</f>
        <v>0</v>
      </c>
      <c r="K3" s="14" t="n">
        <f aca="false">H3-J3</f>
        <v>869.7</v>
      </c>
      <c r="L3" s="15" t="n">
        <f aca="false">IF(K3&gt;=5000,0.12,IF(K3&gt;=2000,0.08,IF(K3&gt;=500,0.05,0.03)))</f>
        <v>0.05</v>
      </c>
      <c r="M3" s="14" t="n">
        <f aca="false">K3*L3</f>
        <v>43.485</v>
      </c>
      <c r="N3" s="14" t="n">
        <f aca="false">K3-M3</f>
        <v>826.215</v>
      </c>
    </row>
    <row r="4" customFormat="false" ht="15" hidden="false" customHeight="false" outlineLevel="0" collapsed="false">
      <c r="A4" s="10" t="n">
        <v>3</v>
      </c>
      <c r="B4" s="10" t="s">
        <v>50</v>
      </c>
      <c r="C4" s="10" t="s">
        <v>51</v>
      </c>
      <c r="D4" s="10" t="s">
        <v>52</v>
      </c>
      <c r="E4" s="10" t="s">
        <v>53</v>
      </c>
      <c r="F4" s="10" t="n">
        <v>6</v>
      </c>
      <c r="G4" s="11" t="n">
        <v>139.9</v>
      </c>
      <c r="H4" s="14" t="n">
        <f aca="false">F4*G4</f>
        <v>839.4</v>
      </c>
      <c r="I4" s="15" t="n">
        <f aca="false">IF(F4&gt;=50,0.15,IF(F4&gt;=20,0.1,IF(F4&gt;=10,0.05,0)))</f>
        <v>0</v>
      </c>
      <c r="J4" s="14" t="n">
        <f aca="false">H4*I4</f>
        <v>0</v>
      </c>
      <c r="K4" s="14" t="n">
        <f aca="false">H4-J4</f>
        <v>839.4</v>
      </c>
      <c r="L4" s="15" t="n">
        <f aca="false">IF(K4&gt;=5000,0.12,IF(K4&gt;=2000,0.08,IF(K4&gt;=500,0.05,0.03)))</f>
        <v>0.05</v>
      </c>
      <c r="M4" s="14" t="n">
        <f aca="false">K4*L4</f>
        <v>41.97</v>
      </c>
      <c r="N4" s="14" t="n">
        <f aca="false">K4-M4</f>
        <v>797.43</v>
      </c>
    </row>
    <row r="5" customFormat="false" ht="15" hidden="false" customHeight="false" outlineLevel="0" collapsed="false">
      <c r="A5" s="10" t="n">
        <v>4</v>
      </c>
      <c r="B5" s="10" t="s">
        <v>54</v>
      </c>
      <c r="C5" s="10" t="s">
        <v>55</v>
      </c>
      <c r="D5" s="10" t="s">
        <v>56</v>
      </c>
      <c r="E5" s="10" t="s">
        <v>57</v>
      </c>
      <c r="F5" s="10" t="n">
        <v>30</v>
      </c>
      <c r="G5" s="11" t="n">
        <v>15.9</v>
      </c>
      <c r="H5" s="14" t="n">
        <f aca="false">F5*G5</f>
        <v>477</v>
      </c>
      <c r="I5" s="15" t="n">
        <f aca="false">IF(F5&gt;=50,0.15,IF(F5&gt;=20,0.1,IF(F5&gt;=10,0.05,0)))</f>
        <v>0.1</v>
      </c>
      <c r="J5" s="14" t="n">
        <f aca="false">H5*I5</f>
        <v>47.7</v>
      </c>
      <c r="K5" s="14" t="n">
        <f aca="false">H5-J5</f>
        <v>429.3</v>
      </c>
      <c r="L5" s="15" t="n">
        <f aca="false">IF(K5&gt;=5000,0.12,IF(K5&gt;=2000,0.08,IF(K5&gt;=500,0.05,0.03)))</f>
        <v>0.03</v>
      </c>
      <c r="M5" s="14" t="n">
        <f aca="false">K5*L5</f>
        <v>12.879</v>
      </c>
      <c r="N5" s="14" t="n">
        <f aca="false">K5-M5</f>
        <v>416.421</v>
      </c>
    </row>
    <row r="6" customFormat="false" ht="15" hidden="false" customHeight="false" outlineLevel="0" collapsed="false">
      <c r="A6" s="10" t="n">
        <v>5</v>
      </c>
      <c r="B6" s="10" t="s">
        <v>58</v>
      </c>
      <c r="C6" s="10" t="s">
        <v>59</v>
      </c>
      <c r="D6" s="10" t="s">
        <v>60</v>
      </c>
      <c r="E6" s="10" t="s">
        <v>61</v>
      </c>
      <c r="F6" s="10" t="n">
        <v>20</v>
      </c>
      <c r="G6" s="11" t="n">
        <v>59.9</v>
      </c>
      <c r="H6" s="14" t="n">
        <f aca="false">F6*G6</f>
        <v>1198</v>
      </c>
      <c r="I6" s="15" t="n">
        <f aca="false">IF(F6&gt;=50,0.15,IF(F6&gt;=20,0.1,IF(F6&gt;=10,0.05,0)))</f>
        <v>0.1</v>
      </c>
      <c r="J6" s="14" t="n">
        <f aca="false">H6*I6</f>
        <v>119.8</v>
      </c>
      <c r="K6" s="14" t="n">
        <f aca="false">H6-J6</f>
        <v>1078.2</v>
      </c>
      <c r="L6" s="15" t="n">
        <f aca="false">IF(K6&gt;=5000,0.12,IF(K6&gt;=2000,0.08,IF(K6&gt;=500,0.05,0.03)))</f>
        <v>0.05</v>
      </c>
      <c r="M6" s="14" t="n">
        <f aca="false">K6*L6</f>
        <v>53.91</v>
      </c>
      <c r="N6" s="14" t="n">
        <f aca="false">K6-M6</f>
        <v>1024.29</v>
      </c>
    </row>
    <row r="7" customFormat="false" ht="15" hidden="false" customHeight="false" outlineLevel="0" collapsed="false">
      <c r="A7" s="10" t="n">
        <v>6</v>
      </c>
      <c r="B7" s="10" t="s">
        <v>58</v>
      </c>
      <c r="C7" s="10" t="s">
        <v>55</v>
      </c>
      <c r="D7" s="10" t="s">
        <v>62</v>
      </c>
      <c r="E7" s="10" t="s">
        <v>63</v>
      </c>
      <c r="F7" s="10" t="n">
        <v>60</v>
      </c>
      <c r="G7" s="11" t="n">
        <v>39.9</v>
      </c>
      <c r="H7" s="14" t="n">
        <f aca="false">F7*G7</f>
        <v>2394</v>
      </c>
      <c r="I7" s="15" t="n">
        <f aca="false">IF(F7&gt;=50,0.15,IF(F7&gt;=20,0.1,IF(F7&gt;=10,0.05,0)))</f>
        <v>0.15</v>
      </c>
      <c r="J7" s="14" t="n">
        <f aca="false">H7*I7</f>
        <v>359.1</v>
      </c>
      <c r="K7" s="14" t="n">
        <f aca="false">H7-J7</f>
        <v>2034.9</v>
      </c>
      <c r="L7" s="15" t="n">
        <f aca="false">IF(K7&gt;=5000,0.12,IF(K7&gt;=2000,0.08,IF(K7&gt;=500,0.05,0.03)))</f>
        <v>0.08</v>
      </c>
      <c r="M7" s="14" t="n">
        <f aca="false">K7*L7</f>
        <v>162.792</v>
      </c>
      <c r="N7" s="14" t="n">
        <f aca="false">K7-M7</f>
        <v>1872.108</v>
      </c>
    </row>
    <row r="8" customFormat="false" ht="15" hidden="false" customHeight="false" outlineLevel="0" collapsed="false">
      <c r="A8" s="10" t="n">
        <v>7</v>
      </c>
      <c r="B8" s="10" t="s">
        <v>64</v>
      </c>
      <c r="C8" s="10" t="s">
        <v>65</v>
      </c>
      <c r="D8" s="10" t="s">
        <v>60</v>
      </c>
      <c r="E8" s="10" t="s">
        <v>66</v>
      </c>
      <c r="F8" s="10" t="n">
        <v>25</v>
      </c>
      <c r="G8" s="11" t="n">
        <v>89.9</v>
      </c>
      <c r="H8" s="14" t="n">
        <f aca="false">F8*G8</f>
        <v>2247.5</v>
      </c>
      <c r="I8" s="15" t="n">
        <f aca="false">IF(F8&gt;=50,0.15,IF(F8&gt;=20,0.1,IF(F8&gt;=10,0.05,0)))</f>
        <v>0.1</v>
      </c>
      <c r="J8" s="14" t="n">
        <f aca="false">H8*I8</f>
        <v>224.75</v>
      </c>
      <c r="K8" s="14" t="n">
        <f aca="false">H8-J8</f>
        <v>2022.75</v>
      </c>
      <c r="L8" s="15" t="n">
        <f aca="false">IF(K8&gt;=5000,0.12,IF(K8&gt;=2000,0.08,IF(K8&gt;=500,0.05,0.03)))</f>
        <v>0.08</v>
      </c>
      <c r="M8" s="14" t="n">
        <f aca="false">K8*L8</f>
        <v>161.82</v>
      </c>
      <c r="N8" s="14" t="n">
        <f aca="false">K8-M8</f>
        <v>1860.93</v>
      </c>
    </row>
    <row r="9" customFormat="false" ht="15" hidden="false" customHeight="false" outlineLevel="0" collapsed="false">
      <c r="A9" s="10" t="n">
        <v>8</v>
      </c>
      <c r="B9" s="10" t="s">
        <v>67</v>
      </c>
      <c r="C9" s="10" t="s">
        <v>48</v>
      </c>
      <c r="D9" s="10" t="s">
        <v>56</v>
      </c>
      <c r="E9" s="10" t="s">
        <v>57</v>
      </c>
      <c r="F9" s="10" t="n">
        <v>60</v>
      </c>
      <c r="G9" s="11" t="n">
        <v>15.9</v>
      </c>
      <c r="H9" s="14" t="n">
        <f aca="false">F9*G9</f>
        <v>954</v>
      </c>
      <c r="I9" s="15" t="n">
        <f aca="false">IF(F9&gt;=50,0.15,IF(F9&gt;=20,0.1,IF(F9&gt;=10,0.05,0)))</f>
        <v>0.15</v>
      </c>
      <c r="J9" s="14" t="n">
        <f aca="false">H9*I9</f>
        <v>143.1</v>
      </c>
      <c r="K9" s="14" t="n">
        <f aca="false">H9-J9</f>
        <v>810.9</v>
      </c>
      <c r="L9" s="15" t="n">
        <f aca="false">IF(K9&gt;=5000,0.12,IF(K9&gt;=2000,0.08,IF(K9&gt;=500,0.05,0.03)))</f>
        <v>0.05</v>
      </c>
      <c r="M9" s="14" t="n">
        <f aca="false">K9*L9</f>
        <v>40.545</v>
      </c>
      <c r="N9" s="14" t="n">
        <f aca="false">K9-M9</f>
        <v>770.355</v>
      </c>
    </row>
    <row r="10" customFormat="false" ht="15" hidden="false" customHeight="false" outlineLevel="0" collapsed="false">
      <c r="A10" s="10" t="n">
        <v>9</v>
      </c>
      <c r="B10" s="10" t="s">
        <v>68</v>
      </c>
      <c r="C10" s="10" t="s">
        <v>45</v>
      </c>
      <c r="D10" s="10" t="s">
        <v>46</v>
      </c>
      <c r="E10" s="10" t="s">
        <v>69</v>
      </c>
      <c r="F10" s="10" t="n">
        <v>3</v>
      </c>
      <c r="G10" s="11" t="n">
        <v>29.9</v>
      </c>
      <c r="H10" s="14" t="n">
        <f aca="false">F10*G10</f>
        <v>89.7</v>
      </c>
      <c r="I10" s="15" t="n">
        <f aca="false">IF(F10&gt;=50,0.15,IF(F10&gt;=20,0.1,IF(F10&gt;=10,0.05,0)))</f>
        <v>0</v>
      </c>
      <c r="J10" s="14" t="n">
        <f aca="false">H10*I10</f>
        <v>0</v>
      </c>
      <c r="K10" s="14" t="n">
        <f aca="false">H10-J10</f>
        <v>89.7</v>
      </c>
      <c r="L10" s="15" t="n">
        <f aca="false">IF(K10&gt;=5000,0.12,IF(K10&gt;=2000,0.08,IF(K10&gt;=500,0.05,0.03)))</f>
        <v>0.03</v>
      </c>
      <c r="M10" s="14" t="n">
        <f aca="false">K10*L10</f>
        <v>2.691</v>
      </c>
      <c r="N10" s="14" t="n">
        <f aca="false">K10-M10</f>
        <v>87.009</v>
      </c>
    </row>
    <row r="11" customFormat="false" ht="15" hidden="false" customHeight="false" outlineLevel="0" collapsed="false">
      <c r="A11" s="10" t="n">
        <v>10</v>
      </c>
      <c r="B11" s="10" t="s">
        <v>70</v>
      </c>
      <c r="C11" s="10" t="s">
        <v>51</v>
      </c>
      <c r="D11" s="10" t="s">
        <v>60</v>
      </c>
      <c r="E11" s="10" t="s">
        <v>71</v>
      </c>
      <c r="F11" s="10" t="n">
        <v>30</v>
      </c>
      <c r="G11" s="11" t="n">
        <v>39.9</v>
      </c>
      <c r="H11" s="14" t="n">
        <f aca="false">F11*G11</f>
        <v>1197</v>
      </c>
      <c r="I11" s="15" t="n">
        <f aca="false">IF(F11&gt;=50,0.15,IF(F11&gt;=20,0.1,IF(F11&gt;=10,0.05,0)))</f>
        <v>0.1</v>
      </c>
      <c r="J11" s="14" t="n">
        <f aca="false">H11*I11</f>
        <v>119.7</v>
      </c>
      <c r="K11" s="14" t="n">
        <f aca="false">H11-J11</f>
        <v>1077.3</v>
      </c>
      <c r="L11" s="15" t="n">
        <f aca="false">IF(K11&gt;=5000,0.12,IF(K11&gt;=2000,0.08,IF(K11&gt;=500,0.05,0.03)))</f>
        <v>0.05</v>
      </c>
      <c r="M11" s="14" t="n">
        <f aca="false">K11*L11</f>
        <v>53.865</v>
      </c>
      <c r="N11" s="14" t="n">
        <f aca="false">K11-M11</f>
        <v>1023.435</v>
      </c>
    </row>
    <row r="12" customFormat="false" ht="15" hidden="false" customHeight="false" outlineLevel="0" collapsed="false">
      <c r="A12" s="10" t="n">
        <v>11</v>
      </c>
      <c r="B12" s="10" t="s">
        <v>70</v>
      </c>
      <c r="C12" s="10" t="s">
        <v>72</v>
      </c>
      <c r="D12" s="10" t="s">
        <v>62</v>
      </c>
      <c r="E12" s="10" t="s">
        <v>73</v>
      </c>
      <c r="F12" s="10" t="n">
        <v>2</v>
      </c>
      <c r="G12" s="11" t="n">
        <v>219.9</v>
      </c>
      <c r="H12" s="14" t="n">
        <f aca="false">F12*G12</f>
        <v>439.8</v>
      </c>
      <c r="I12" s="15" t="n">
        <f aca="false">IF(F12&gt;=50,0.15,IF(F12&gt;=20,0.1,IF(F12&gt;=10,0.05,0)))</f>
        <v>0</v>
      </c>
      <c r="J12" s="14" t="n">
        <f aca="false">H12*I12</f>
        <v>0</v>
      </c>
      <c r="K12" s="14" t="n">
        <f aca="false">H12-J12</f>
        <v>439.8</v>
      </c>
      <c r="L12" s="15" t="n">
        <f aca="false">IF(K12&gt;=5000,0.12,IF(K12&gt;=2000,0.08,IF(K12&gt;=500,0.05,0.03)))</f>
        <v>0.03</v>
      </c>
      <c r="M12" s="14" t="n">
        <f aca="false">K12*L12</f>
        <v>13.194</v>
      </c>
      <c r="N12" s="14" t="n">
        <f aca="false">K12-M12</f>
        <v>426.606</v>
      </c>
    </row>
    <row r="13" customFormat="false" ht="15" hidden="false" customHeight="false" outlineLevel="0" collapsed="false">
      <c r="A13" s="10" t="n">
        <v>12</v>
      </c>
      <c r="B13" s="10" t="s">
        <v>74</v>
      </c>
      <c r="C13" s="10" t="s">
        <v>48</v>
      </c>
      <c r="D13" s="10" t="s">
        <v>46</v>
      </c>
      <c r="E13" s="10" t="s">
        <v>47</v>
      </c>
      <c r="F13" s="10" t="n">
        <v>55</v>
      </c>
      <c r="G13" s="11" t="n">
        <v>149.9</v>
      </c>
      <c r="H13" s="14" t="n">
        <f aca="false">F13*G13</f>
        <v>8244.5</v>
      </c>
      <c r="I13" s="15" t="n">
        <f aca="false">IF(F13&gt;=50,0.15,IF(F13&gt;=20,0.1,IF(F13&gt;=10,0.05,0)))</f>
        <v>0.15</v>
      </c>
      <c r="J13" s="14" t="n">
        <f aca="false">H13*I13</f>
        <v>1236.675</v>
      </c>
      <c r="K13" s="14" t="n">
        <f aca="false">H13-J13</f>
        <v>7007.825</v>
      </c>
      <c r="L13" s="15" t="n">
        <f aca="false">IF(K13&gt;=5000,0.12,IF(K13&gt;=2000,0.08,IF(K13&gt;=500,0.05,0.03)))</f>
        <v>0.12</v>
      </c>
      <c r="M13" s="14" t="n">
        <f aca="false">K13*L13</f>
        <v>840.939</v>
      </c>
      <c r="N13" s="14" t="n">
        <f aca="false">K13-M13</f>
        <v>6166.886</v>
      </c>
    </row>
    <row r="14" customFormat="false" ht="15" hidden="false" customHeight="false" outlineLevel="0" collapsed="false">
      <c r="A14" s="10" t="n">
        <v>13</v>
      </c>
      <c r="B14" s="10" t="s">
        <v>75</v>
      </c>
      <c r="C14" s="10" t="s">
        <v>76</v>
      </c>
      <c r="D14" s="10" t="s">
        <v>46</v>
      </c>
      <c r="E14" s="10" t="s">
        <v>69</v>
      </c>
      <c r="F14" s="10" t="n">
        <v>15</v>
      </c>
      <c r="G14" s="11" t="n">
        <v>29.9</v>
      </c>
      <c r="H14" s="14" t="n">
        <f aca="false">F14*G14</f>
        <v>448.5</v>
      </c>
      <c r="I14" s="15" t="n">
        <f aca="false">IF(F14&gt;=50,0.15,IF(F14&gt;=20,0.1,IF(F14&gt;=10,0.05,0)))</f>
        <v>0.05</v>
      </c>
      <c r="J14" s="14" t="n">
        <f aca="false">H14*I14</f>
        <v>22.425</v>
      </c>
      <c r="K14" s="14" t="n">
        <f aca="false">H14-J14</f>
        <v>426.075</v>
      </c>
      <c r="L14" s="15" t="n">
        <f aca="false">IF(K14&gt;=5000,0.12,IF(K14&gt;=2000,0.08,IF(K14&gt;=500,0.05,0.03)))</f>
        <v>0.03</v>
      </c>
      <c r="M14" s="14" t="n">
        <f aca="false">K14*L14</f>
        <v>12.78225</v>
      </c>
      <c r="N14" s="14" t="n">
        <f aca="false">K14-M14</f>
        <v>413.29275</v>
      </c>
    </row>
    <row r="15" customFormat="false" ht="15" hidden="false" customHeight="false" outlineLevel="0" collapsed="false">
      <c r="A15" s="10" t="n">
        <v>14</v>
      </c>
      <c r="B15" s="10" t="s">
        <v>77</v>
      </c>
      <c r="C15" s="10" t="s">
        <v>78</v>
      </c>
      <c r="D15" s="10" t="s">
        <v>46</v>
      </c>
      <c r="E15" s="10" t="s">
        <v>69</v>
      </c>
      <c r="F15" s="10" t="n">
        <v>9</v>
      </c>
      <c r="G15" s="11" t="n">
        <v>29.9</v>
      </c>
      <c r="H15" s="14" t="n">
        <f aca="false">F15*G15</f>
        <v>269.1</v>
      </c>
      <c r="I15" s="15" t="n">
        <f aca="false">IF(F15&gt;=50,0.15,IF(F15&gt;=20,0.1,IF(F15&gt;=10,0.05,0)))</f>
        <v>0</v>
      </c>
      <c r="J15" s="14" t="n">
        <f aca="false">H15*I15</f>
        <v>0</v>
      </c>
      <c r="K15" s="14" t="n">
        <f aca="false">H15-J15</f>
        <v>269.1</v>
      </c>
      <c r="L15" s="15" t="n">
        <f aca="false">IF(K15&gt;=5000,0.12,IF(K15&gt;=2000,0.08,IF(K15&gt;=500,0.05,0.03)))</f>
        <v>0.03</v>
      </c>
      <c r="M15" s="14" t="n">
        <f aca="false">K15*L15</f>
        <v>8.073</v>
      </c>
      <c r="N15" s="14" t="n">
        <f aca="false">K15-M15</f>
        <v>261.027</v>
      </c>
    </row>
    <row r="16" customFormat="false" ht="15" hidden="false" customHeight="false" outlineLevel="0" collapsed="false">
      <c r="A16" s="10" t="n">
        <v>15</v>
      </c>
      <c r="B16" s="10" t="s">
        <v>79</v>
      </c>
      <c r="C16" s="10" t="s">
        <v>78</v>
      </c>
      <c r="D16" s="10" t="s">
        <v>46</v>
      </c>
      <c r="E16" s="10" t="s">
        <v>49</v>
      </c>
      <c r="F16" s="10" t="n">
        <v>35</v>
      </c>
      <c r="G16" s="11" t="n">
        <v>289.9</v>
      </c>
      <c r="H16" s="14" t="n">
        <f aca="false">F16*G16</f>
        <v>10146.5</v>
      </c>
      <c r="I16" s="15" t="n">
        <f aca="false">IF(F16&gt;=50,0.15,IF(F16&gt;=20,0.1,IF(F16&gt;=10,0.05,0)))</f>
        <v>0.1</v>
      </c>
      <c r="J16" s="14" t="n">
        <f aca="false">H16*I16</f>
        <v>1014.65</v>
      </c>
      <c r="K16" s="14" t="n">
        <f aca="false">H16-J16</f>
        <v>9131.85</v>
      </c>
      <c r="L16" s="15" t="n">
        <f aca="false">IF(K16&gt;=5000,0.12,IF(K16&gt;=2000,0.08,IF(K16&gt;=500,0.05,0.03)))</f>
        <v>0.12</v>
      </c>
      <c r="M16" s="14" t="n">
        <f aca="false">K16*L16</f>
        <v>1095.822</v>
      </c>
      <c r="N16" s="14" t="n">
        <f aca="false">K16-M16</f>
        <v>8036.028</v>
      </c>
    </row>
    <row r="17" customFormat="false" ht="15" hidden="false" customHeight="false" outlineLevel="0" collapsed="false">
      <c r="A17" s="10" t="n">
        <v>16</v>
      </c>
      <c r="B17" s="10" t="s">
        <v>80</v>
      </c>
      <c r="C17" s="10" t="s">
        <v>81</v>
      </c>
      <c r="D17" s="10" t="s">
        <v>52</v>
      </c>
      <c r="E17" s="10" t="s">
        <v>82</v>
      </c>
      <c r="F17" s="10" t="n">
        <v>5</v>
      </c>
      <c r="G17" s="11" t="n">
        <v>259.9</v>
      </c>
      <c r="H17" s="14" t="n">
        <f aca="false">F17*G17</f>
        <v>1299.5</v>
      </c>
      <c r="I17" s="15" t="n">
        <f aca="false">IF(F17&gt;=50,0.15,IF(F17&gt;=20,0.1,IF(F17&gt;=10,0.05,0)))</f>
        <v>0</v>
      </c>
      <c r="J17" s="14" t="n">
        <f aca="false">H17*I17</f>
        <v>0</v>
      </c>
      <c r="K17" s="14" t="n">
        <f aca="false">H17-J17</f>
        <v>1299.5</v>
      </c>
      <c r="L17" s="15" t="n">
        <f aca="false">IF(K17&gt;=5000,0.12,IF(K17&gt;=2000,0.08,IF(K17&gt;=500,0.05,0.03)))</f>
        <v>0.05</v>
      </c>
      <c r="M17" s="14" t="n">
        <f aca="false">K17*L17</f>
        <v>64.975</v>
      </c>
      <c r="N17" s="14" t="n">
        <f aca="false">K17-M17</f>
        <v>1234.525</v>
      </c>
    </row>
    <row r="18" customFormat="false" ht="15" hidden="false" customHeight="false" outlineLevel="0" collapsed="false">
      <c r="A18" s="10" t="n">
        <v>17</v>
      </c>
      <c r="B18" s="10" t="s">
        <v>80</v>
      </c>
      <c r="C18" s="10" t="s">
        <v>48</v>
      </c>
      <c r="D18" s="10" t="s">
        <v>56</v>
      </c>
      <c r="E18" s="10" t="s">
        <v>83</v>
      </c>
      <c r="F18" s="10" t="n">
        <v>50</v>
      </c>
      <c r="G18" s="11" t="n">
        <v>119.9</v>
      </c>
      <c r="H18" s="14" t="n">
        <f aca="false">F18*G18</f>
        <v>5995</v>
      </c>
      <c r="I18" s="15" t="n">
        <f aca="false">IF(F18&gt;=50,0.15,IF(F18&gt;=20,0.1,IF(F18&gt;=10,0.05,0)))</f>
        <v>0.15</v>
      </c>
      <c r="J18" s="14" t="n">
        <f aca="false">H18*I18</f>
        <v>899.25</v>
      </c>
      <c r="K18" s="14" t="n">
        <f aca="false">H18-J18</f>
        <v>5095.75</v>
      </c>
      <c r="L18" s="15" t="n">
        <f aca="false">IF(K18&gt;=5000,0.12,IF(K18&gt;=2000,0.08,IF(K18&gt;=500,0.05,0.03)))</f>
        <v>0.12</v>
      </c>
      <c r="M18" s="14" t="n">
        <f aca="false">K18*L18</f>
        <v>611.49</v>
      </c>
      <c r="N18" s="14" t="n">
        <f aca="false">K18-M18</f>
        <v>4484.26</v>
      </c>
    </row>
    <row r="19" customFormat="false" ht="15" hidden="false" customHeight="false" outlineLevel="0" collapsed="false">
      <c r="A19" s="10" t="n">
        <v>18</v>
      </c>
      <c r="B19" s="10" t="s">
        <v>84</v>
      </c>
      <c r="C19" s="10" t="s">
        <v>51</v>
      </c>
      <c r="D19" s="10" t="s">
        <v>60</v>
      </c>
      <c r="E19" s="10" t="s">
        <v>66</v>
      </c>
      <c r="F19" s="10" t="n">
        <v>18</v>
      </c>
      <c r="G19" s="11" t="n">
        <v>89.9</v>
      </c>
      <c r="H19" s="14" t="n">
        <f aca="false">F19*G19</f>
        <v>1618.2</v>
      </c>
      <c r="I19" s="15" t="n">
        <f aca="false">IF(F19&gt;=50,0.15,IF(F19&gt;=20,0.1,IF(F19&gt;=10,0.05,0)))</f>
        <v>0.05</v>
      </c>
      <c r="J19" s="14" t="n">
        <f aca="false">H19*I19</f>
        <v>80.91</v>
      </c>
      <c r="K19" s="14" t="n">
        <f aca="false">H19-J19</f>
        <v>1537.29</v>
      </c>
      <c r="L19" s="15" t="n">
        <f aca="false">IF(K19&gt;=5000,0.12,IF(K19&gt;=2000,0.08,IF(K19&gt;=500,0.05,0.03)))</f>
        <v>0.05</v>
      </c>
      <c r="M19" s="14" t="n">
        <f aca="false">K19*L19</f>
        <v>76.8645</v>
      </c>
      <c r="N19" s="14" t="n">
        <f aca="false">K19-M19</f>
        <v>1460.4255</v>
      </c>
    </row>
    <row r="20" customFormat="false" ht="15" hidden="false" customHeight="false" outlineLevel="0" collapsed="false">
      <c r="A20" s="10" t="n">
        <v>19</v>
      </c>
      <c r="B20" s="10" t="s">
        <v>84</v>
      </c>
      <c r="C20" s="10" t="s">
        <v>65</v>
      </c>
      <c r="D20" s="10" t="s">
        <v>62</v>
      </c>
      <c r="E20" s="10" t="s">
        <v>85</v>
      </c>
      <c r="F20" s="10" t="n">
        <v>9</v>
      </c>
      <c r="G20" s="11" t="n">
        <v>29.9</v>
      </c>
      <c r="H20" s="14" t="n">
        <f aca="false">F20*G20</f>
        <v>269.1</v>
      </c>
      <c r="I20" s="15" t="n">
        <f aca="false">IF(F20&gt;=50,0.15,IF(F20&gt;=20,0.1,IF(F20&gt;=10,0.05,0)))</f>
        <v>0</v>
      </c>
      <c r="J20" s="14" t="n">
        <f aca="false">H20*I20</f>
        <v>0</v>
      </c>
      <c r="K20" s="14" t="n">
        <f aca="false">H20-J20</f>
        <v>269.1</v>
      </c>
      <c r="L20" s="15" t="n">
        <f aca="false">IF(K20&gt;=5000,0.12,IF(K20&gt;=2000,0.08,IF(K20&gt;=500,0.05,0.03)))</f>
        <v>0.03</v>
      </c>
      <c r="M20" s="14" t="n">
        <f aca="false">K20*L20</f>
        <v>8.073</v>
      </c>
      <c r="N20" s="14" t="n">
        <f aca="false">K20-M20</f>
        <v>261.027</v>
      </c>
    </row>
    <row r="21" customFormat="false" ht="15" hidden="false" customHeight="false" outlineLevel="0" collapsed="false">
      <c r="A21" s="10" t="n">
        <v>20</v>
      </c>
      <c r="B21" s="10" t="s">
        <v>86</v>
      </c>
      <c r="C21" s="10" t="s">
        <v>78</v>
      </c>
      <c r="D21" s="10" t="s">
        <v>62</v>
      </c>
      <c r="E21" s="10" t="s">
        <v>87</v>
      </c>
      <c r="F21" s="10" t="n">
        <v>4</v>
      </c>
      <c r="G21" s="11" t="n">
        <v>159.9</v>
      </c>
      <c r="H21" s="14" t="n">
        <f aca="false">F21*G21</f>
        <v>639.6</v>
      </c>
      <c r="I21" s="15" t="n">
        <f aca="false">IF(F21&gt;=50,0.15,IF(F21&gt;=20,0.1,IF(F21&gt;=10,0.05,0)))</f>
        <v>0</v>
      </c>
      <c r="J21" s="14" t="n">
        <f aca="false">H21*I21</f>
        <v>0</v>
      </c>
      <c r="K21" s="14" t="n">
        <f aca="false">H21-J21</f>
        <v>639.6</v>
      </c>
      <c r="L21" s="15" t="n">
        <f aca="false">IF(K21&gt;=5000,0.12,IF(K21&gt;=2000,0.08,IF(K21&gt;=500,0.05,0.03)))</f>
        <v>0.05</v>
      </c>
      <c r="M21" s="14" t="n">
        <f aca="false">K21*L21</f>
        <v>31.98</v>
      </c>
      <c r="N21" s="14" t="n">
        <f aca="false">K21-M21</f>
        <v>607.62</v>
      </c>
    </row>
    <row r="22" customFormat="false" ht="15" hidden="false" customHeight="false" outlineLevel="0" collapsed="false">
      <c r="A22" s="10" t="n">
        <v>21</v>
      </c>
      <c r="B22" s="10" t="s">
        <v>88</v>
      </c>
      <c r="C22" s="10" t="s">
        <v>65</v>
      </c>
      <c r="D22" s="10" t="s">
        <v>46</v>
      </c>
      <c r="E22" s="10" t="s">
        <v>89</v>
      </c>
      <c r="F22" s="10" t="n">
        <v>4</v>
      </c>
      <c r="G22" s="11" t="n">
        <v>199.9</v>
      </c>
      <c r="H22" s="14" t="n">
        <f aca="false">F22*G22</f>
        <v>799.6</v>
      </c>
      <c r="I22" s="15" t="n">
        <f aca="false">IF(F22&gt;=50,0.15,IF(F22&gt;=20,0.1,IF(F22&gt;=10,0.05,0)))</f>
        <v>0</v>
      </c>
      <c r="J22" s="14" t="n">
        <f aca="false">H22*I22</f>
        <v>0</v>
      </c>
      <c r="K22" s="14" t="n">
        <f aca="false">H22-J22</f>
        <v>799.6</v>
      </c>
      <c r="L22" s="15" t="n">
        <f aca="false">IF(K22&gt;=5000,0.12,IF(K22&gt;=2000,0.08,IF(K22&gt;=500,0.05,0.03)))</f>
        <v>0.05</v>
      </c>
      <c r="M22" s="14" t="n">
        <f aca="false">K22*L22</f>
        <v>39.98</v>
      </c>
      <c r="N22" s="14" t="n">
        <f aca="false">K22-M22</f>
        <v>759.62</v>
      </c>
    </row>
    <row r="23" customFormat="false" ht="15" hidden="false" customHeight="false" outlineLevel="0" collapsed="false">
      <c r="A23" s="10" t="n">
        <v>22</v>
      </c>
      <c r="B23" s="10" t="s">
        <v>90</v>
      </c>
      <c r="C23" s="10" t="s">
        <v>72</v>
      </c>
      <c r="D23" s="10" t="s">
        <v>52</v>
      </c>
      <c r="E23" s="10" t="s">
        <v>91</v>
      </c>
      <c r="F23" s="10" t="n">
        <v>10</v>
      </c>
      <c r="G23" s="11" t="n">
        <v>49.9</v>
      </c>
      <c r="H23" s="14" t="n">
        <f aca="false">F23*G23</f>
        <v>499</v>
      </c>
      <c r="I23" s="15" t="n">
        <f aca="false">IF(F23&gt;=50,0.15,IF(F23&gt;=20,0.1,IF(F23&gt;=10,0.05,0)))</f>
        <v>0.05</v>
      </c>
      <c r="J23" s="14" t="n">
        <f aca="false">H23*I23</f>
        <v>24.95</v>
      </c>
      <c r="K23" s="14" t="n">
        <f aca="false">H23-J23</f>
        <v>474.05</v>
      </c>
      <c r="L23" s="15" t="n">
        <f aca="false">IF(K23&gt;=5000,0.12,IF(K23&gt;=2000,0.08,IF(K23&gt;=500,0.05,0.03)))</f>
        <v>0.03</v>
      </c>
      <c r="M23" s="14" t="n">
        <f aca="false">K23*L23</f>
        <v>14.2215</v>
      </c>
      <c r="N23" s="14" t="n">
        <f aca="false">K23-M23</f>
        <v>459.8285</v>
      </c>
    </row>
    <row r="24" customFormat="false" ht="15" hidden="false" customHeight="false" outlineLevel="0" collapsed="false">
      <c r="A24" s="10" t="n">
        <v>23</v>
      </c>
      <c r="B24" s="10" t="s">
        <v>90</v>
      </c>
      <c r="C24" s="10" t="s">
        <v>48</v>
      </c>
      <c r="D24" s="10" t="s">
        <v>56</v>
      </c>
      <c r="E24" s="10" t="s">
        <v>57</v>
      </c>
      <c r="F24" s="10" t="n">
        <v>6</v>
      </c>
      <c r="G24" s="11" t="n">
        <v>15.9</v>
      </c>
      <c r="H24" s="14" t="n">
        <f aca="false">F24*G24</f>
        <v>95.4</v>
      </c>
      <c r="I24" s="15" t="n">
        <f aca="false">IF(F24&gt;=50,0.15,IF(F24&gt;=20,0.1,IF(F24&gt;=10,0.05,0)))</f>
        <v>0</v>
      </c>
      <c r="J24" s="14" t="n">
        <f aca="false">H24*I24</f>
        <v>0</v>
      </c>
      <c r="K24" s="14" t="n">
        <f aca="false">H24-J24</f>
        <v>95.4</v>
      </c>
      <c r="L24" s="15" t="n">
        <f aca="false">IF(K24&gt;=5000,0.12,IF(K24&gt;=2000,0.08,IF(K24&gt;=500,0.05,0.03)))</f>
        <v>0.03</v>
      </c>
      <c r="M24" s="14" t="n">
        <f aca="false">K24*L24</f>
        <v>2.862</v>
      </c>
      <c r="N24" s="14" t="n">
        <f aca="false">K24-M24</f>
        <v>92.538</v>
      </c>
    </row>
    <row r="25" customFormat="false" ht="15" hidden="false" customHeight="false" outlineLevel="0" collapsed="false">
      <c r="A25" s="10" t="n">
        <v>24</v>
      </c>
      <c r="B25" s="10" t="s">
        <v>92</v>
      </c>
      <c r="C25" s="10" t="s">
        <v>72</v>
      </c>
      <c r="D25" s="10" t="s">
        <v>56</v>
      </c>
      <c r="E25" s="10" t="s">
        <v>57</v>
      </c>
      <c r="F25" s="10" t="n">
        <v>40</v>
      </c>
      <c r="G25" s="11" t="n">
        <v>15.9</v>
      </c>
      <c r="H25" s="14" t="n">
        <f aca="false">F25*G25</f>
        <v>636</v>
      </c>
      <c r="I25" s="15" t="n">
        <f aca="false">IF(F25&gt;=50,0.15,IF(F25&gt;=20,0.1,IF(F25&gt;=10,0.05,0)))</f>
        <v>0.1</v>
      </c>
      <c r="J25" s="14" t="n">
        <f aca="false">H25*I25</f>
        <v>63.6</v>
      </c>
      <c r="K25" s="14" t="n">
        <f aca="false">H25-J25</f>
        <v>572.4</v>
      </c>
      <c r="L25" s="15" t="n">
        <f aca="false">IF(K25&gt;=5000,0.12,IF(K25&gt;=2000,0.08,IF(K25&gt;=500,0.05,0.03)))</f>
        <v>0.05</v>
      </c>
      <c r="M25" s="14" t="n">
        <f aca="false">K25*L25</f>
        <v>28.62</v>
      </c>
      <c r="N25" s="14" t="n">
        <f aca="false">K25-M25</f>
        <v>543.78</v>
      </c>
    </row>
    <row r="26" customFormat="false" ht="15" hidden="false" customHeight="false" outlineLevel="0" collapsed="false">
      <c r="A26" s="10" t="n">
        <v>25</v>
      </c>
      <c r="B26" s="10" t="s">
        <v>93</v>
      </c>
      <c r="C26" s="10" t="s">
        <v>45</v>
      </c>
      <c r="D26" s="10" t="s">
        <v>46</v>
      </c>
      <c r="E26" s="10" t="s">
        <v>89</v>
      </c>
      <c r="F26" s="10" t="n">
        <v>15</v>
      </c>
      <c r="G26" s="11" t="n">
        <v>199.9</v>
      </c>
      <c r="H26" s="14" t="n">
        <f aca="false">F26*G26</f>
        <v>2998.5</v>
      </c>
      <c r="I26" s="15" t="n">
        <f aca="false">IF(F26&gt;=50,0.15,IF(F26&gt;=20,0.1,IF(F26&gt;=10,0.05,0)))</f>
        <v>0.05</v>
      </c>
      <c r="J26" s="14" t="n">
        <f aca="false">H26*I26</f>
        <v>149.925</v>
      </c>
      <c r="K26" s="14" t="n">
        <f aca="false">H26-J26</f>
        <v>2848.575</v>
      </c>
      <c r="L26" s="15" t="n">
        <f aca="false">IF(K26&gt;=5000,0.12,IF(K26&gt;=2000,0.08,IF(K26&gt;=500,0.05,0.03)))</f>
        <v>0.08</v>
      </c>
      <c r="M26" s="14" t="n">
        <f aca="false">K26*L26</f>
        <v>227.886</v>
      </c>
      <c r="N26" s="14" t="n">
        <f aca="false">K26-M26</f>
        <v>2620.689</v>
      </c>
    </row>
    <row r="27" customFormat="false" ht="15" hidden="false" customHeight="false" outlineLevel="0" collapsed="false">
      <c r="A27" s="10" t="n">
        <v>26</v>
      </c>
      <c r="B27" s="10" t="s">
        <v>94</v>
      </c>
      <c r="C27" s="10" t="s">
        <v>59</v>
      </c>
      <c r="D27" s="10" t="s">
        <v>60</v>
      </c>
      <c r="E27" s="10" t="s">
        <v>66</v>
      </c>
      <c r="F27" s="10" t="n">
        <v>8</v>
      </c>
      <c r="G27" s="11" t="n">
        <v>89.9</v>
      </c>
      <c r="H27" s="14" t="n">
        <f aca="false">F27*G27</f>
        <v>719.2</v>
      </c>
      <c r="I27" s="15" t="n">
        <f aca="false">IF(F27&gt;=50,0.15,IF(F27&gt;=20,0.1,IF(F27&gt;=10,0.05,0)))</f>
        <v>0</v>
      </c>
      <c r="J27" s="14" t="n">
        <f aca="false">H27*I27</f>
        <v>0</v>
      </c>
      <c r="K27" s="14" t="n">
        <f aca="false">H27-J27</f>
        <v>719.2</v>
      </c>
      <c r="L27" s="15" t="n">
        <f aca="false">IF(K27&gt;=5000,0.12,IF(K27&gt;=2000,0.08,IF(K27&gt;=500,0.05,0.03)))</f>
        <v>0.05</v>
      </c>
      <c r="M27" s="14" t="n">
        <f aca="false">K27*L27</f>
        <v>35.96</v>
      </c>
      <c r="N27" s="14" t="n">
        <f aca="false">K27-M27</f>
        <v>683.24</v>
      </c>
    </row>
    <row r="28" customFormat="false" ht="15" hidden="false" customHeight="false" outlineLevel="0" collapsed="false">
      <c r="A28" s="10" t="n">
        <v>27</v>
      </c>
      <c r="B28" s="10" t="s">
        <v>95</v>
      </c>
      <c r="C28" s="10" t="s">
        <v>76</v>
      </c>
      <c r="D28" s="10" t="s">
        <v>62</v>
      </c>
      <c r="E28" s="10" t="s">
        <v>96</v>
      </c>
      <c r="F28" s="10" t="n">
        <v>40</v>
      </c>
      <c r="G28" s="11" t="n">
        <v>49.9</v>
      </c>
      <c r="H28" s="14" t="n">
        <f aca="false">F28*G28</f>
        <v>1996</v>
      </c>
      <c r="I28" s="15" t="n">
        <f aca="false">IF(F28&gt;=50,0.15,IF(F28&gt;=20,0.1,IF(F28&gt;=10,0.05,0)))</f>
        <v>0.1</v>
      </c>
      <c r="J28" s="14" t="n">
        <f aca="false">H28*I28</f>
        <v>199.6</v>
      </c>
      <c r="K28" s="14" t="n">
        <f aca="false">H28-J28</f>
        <v>1796.4</v>
      </c>
      <c r="L28" s="15" t="n">
        <f aca="false">IF(K28&gt;=5000,0.12,IF(K28&gt;=2000,0.08,IF(K28&gt;=500,0.05,0.03)))</f>
        <v>0.05</v>
      </c>
      <c r="M28" s="14" t="n">
        <f aca="false">K28*L28</f>
        <v>89.82</v>
      </c>
      <c r="N28" s="14" t="n">
        <f aca="false">K28-M28</f>
        <v>1706.58</v>
      </c>
    </row>
    <row r="29" customFormat="false" ht="15" hidden="false" customHeight="false" outlineLevel="0" collapsed="false">
      <c r="A29" s="10" t="n">
        <v>28</v>
      </c>
      <c r="B29" s="10" t="s">
        <v>97</v>
      </c>
      <c r="C29" s="10" t="s">
        <v>81</v>
      </c>
      <c r="D29" s="10" t="s">
        <v>62</v>
      </c>
      <c r="E29" s="10" t="s">
        <v>73</v>
      </c>
      <c r="F29" s="10" t="n">
        <v>12</v>
      </c>
      <c r="G29" s="11" t="n">
        <v>219.9</v>
      </c>
      <c r="H29" s="14" t="n">
        <f aca="false">F29*G29</f>
        <v>2638.8</v>
      </c>
      <c r="I29" s="15" t="n">
        <f aca="false">IF(F29&gt;=50,0.15,IF(F29&gt;=20,0.1,IF(F29&gt;=10,0.05,0)))</f>
        <v>0.05</v>
      </c>
      <c r="J29" s="14" t="n">
        <f aca="false">H29*I29</f>
        <v>131.94</v>
      </c>
      <c r="K29" s="14" t="n">
        <f aca="false">H29-J29</f>
        <v>2506.86</v>
      </c>
      <c r="L29" s="15" t="n">
        <f aca="false">IF(K29&gt;=5000,0.12,IF(K29&gt;=2000,0.08,IF(K29&gt;=500,0.05,0.03)))</f>
        <v>0.08</v>
      </c>
      <c r="M29" s="14" t="n">
        <f aca="false">K29*L29</f>
        <v>200.5488</v>
      </c>
      <c r="N29" s="14" t="n">
        <f aca="false">K29-M29</f>
        <v>2306.3112</v>
      </c>
    </row>
    <row r="30" customFormat="false" ht="15" hidden="false" customHeight="false" outlineLevel="0" collapsed="false">
      <c r="A30" s="10" t="n">
        <v>29</v>
      </c>
      <c r="B30" s="10" t="s">
        <v>97</v>
      </c>
      <c r="C30" s="10" t="s">
        <v>45</v>
      </c>
      <c r="D30" s="10" t="s">
        <v>60</v>
      </c>
      <c r="E30" s="10" t="s">
        <v>66</v>
      </c>
      <c r="F30" s="10" t="n">
        <v>12</v>
      </c>
      <c r="G30" s="11" t="n">
        <v>89.9</v>
      </c>
      <c r="H30" s="14" t="n">
        <f aca="false">F30*G30</f>
        <v>1078.8</v>
      </c>
      <c r="I30" s="15" t="n">
        <f aca="false">IF(F30&gt;=50,0.15,IF(F30&gt;=20,0.1,IF(F30&gt;=10,0.05,0)))</f>
        <v>0.05</v>
      </c>
      <c r="J30" s="14" t="n">
        <f aca="false">H30*I30</f>
        <v>53.94</v>
      </c>
      <c r="K30" s="14" t="n">
        <f aca="false">H30-J30</f>
        <v>1024.86</v>
      </c>
      <c r="L30" s="15" t="n">
        <f aca="false">IF(K30&gt;=5000,0.12,IF(K30&gt;=2000,0.08,IF(K30&gt;=500,0.05,0.03)))</f>
        <v>0.05</v>
      </c>
      <c r="M30" s="14" t="n">
        <f aca="false">K30*L30</f>
        <v>51.243</v>
      </c>
      <c r="N30" s="14" t="n">
        <f aca="false">K30-M30</f>
        <v>973.617</v>
      </c>
    </row>
    <row r="31" customFormat="false" ht="15" hidden="false" customHeight="false" outlineLevel="0" collapsed="false">
      <c r="A31" s="10" t="n">
        <v>30</v>
      </c>
      <c r="B31" s="10" t="s">
        <v>98</v>
      </c>
      <c r="C31" s="10" t="s">
        <v>59</v>
      </c>
      <c r="D31" s="10" t="s">
        <v>56</v>
      </c>
      <c r="E31" s="10" t="s">
        <v>99</v>
      </c>
      <c r="F31" s="10" t="n">
        <v>18</v>
      </c>
      <c r="G31" s="11" t="n">
        <v>34.9</v>
      </c>
      <c r="H31" s="14" t="n">
        <f aca="false">F31*G31</f>
        <v>628.2</v>
      </c>
      <c r="I31" s="15" t="n">
        <f aca="false">IF(F31&gt;=50,0.15,IF(F31&gt;=20,0.1,IF(F31&gt;=10,0.05,0)))</f>
        <v>0.05</v>
      </c>
      <c r="J31" s="14" t="n">
        <f aca="false">H31*I31</f>
        <v>31.41</v>
      </c>
      <c r="K31" s="14" t="n">
        <f aca="false">H31-J31</f>
        <v>596.79</v>
      </c>
      <c r="L31" s="15" t="n">
        <f aca="false">IF(K31&gt;=5000,0.12,IF(K31&gt;=2000,0.08,IF(K31&gt;=500,0.05,0.03)))</f>
        <v>0.05</v>
      </c>
      <c r="M31" s="14" t="n">
        <f aca="false">K31*L31</f>
        <v>29.8395</v>
      </c>
      <c r="N31" s="14" t="n">
        <f aca="false">K31-M31</f>
        <v>566.9505</v>
      </c>
    </row>
    <row r="32" customFormat="false" ht="15" hidden="false" customHeight="false" outlineLevel="0" collapsed="false">
      <c r="A32" s="10" t="n">
        <v>31</v>
      </c>
      <c r="B32" s="10" t="s">
        <v>100</v>
      </c>
      <c r="C32" s="10" t="s">
        <v>51</v>
      </c>
      <c r="D32" s="10" t="s">
        <v>46</v>
      </c>
      <c r="E32" s="10" t="s">
        <v>69</v>
      </c>
      <c r="F32" s="10" t="n">
        <v>4</v>
      </c>
      <c r="G32" s="11" t="n">
        <v>29.9</v>
      </c>
      <c r="H32" s="14" t="n">
        <f aca="false">F32*G32</f>
        <v>119.6</v>
      </c>
      <c r="I32" s="15" t="n">
        <f aca="false">IF(F32&gt;=50,0.15,IF(F32&gt;=20,0.1,IF(F32&gt;=10,0.05,0)))</f>
        <v>0</v>
      </c>
      <c r="J32" s="14" t="n">
        <f aca="false">H32*I32</f>
        <v>0</v>
      </c>
      <c r="K32" s="14" t="n">
        <f aca="false">H32-J32</f>
        <v>119.6</v>
      </c>
      <c r="L32" s="15" t="n">
        <f aca="false">IF(K32&gt;=5000,0.12,IF(K32&gt;=2000,0.08,IF(K32&gt;=500,0.05,0.03)))</f>
        <v>0.03</v>
      </c>
      <c r="M32" s="14" t="n">
        <f aca="false">K32*L32</f>
        <v>3.588</v>
      </c>
      <c r="N32" s="14" t="n">
        <f aca="false">K32-M32</f>
        <v>116.012</v>
      </c>
    </row>
    <row r="33" customFormat="false" ht="15" hidden="false" customHeight="false" outlineLevel="0" collapsed="false">
      <c r="A33" s="10" t="n">
        <v>32</v>
      </c>
      <c r="B33" s="10" t="s">
        <v>100</v>
      </c>
      <c r="C33" s="10" t="s">
        <v>59</v>
      </c>
      <c r="D33" s="10" t="s">
        <v>56</v>
      </c>
      <c r="E33" s="10" t="s">
        <v>101</v>
      </c>
      <c r="F33" s="10" t="n">
        <v>20</v>
      </c>
      <c r="G33" s="11" t="n">
        <v>22.5</v>
      </c>
      <c r="H33" s="14" t="n">
        <f aca="false">F33*G33</f>
        <v>450</v>
      </c>
      <c r="I33" s="15" t="n">
        <f aca="false">IF(F33&gt;=50,0.15,IF(F33&gt;=20,0.1,IF(F33&gt;=10,0.05,0)))</f>
        <v>0.1</v>
      </c>
      <c r="J33" s="14" t="n">
        <f aca="false">H33*I33</f>
        <v>45</v>
      </c>
      <c r="K33" s="14" t="n">
        <f aca="false">H33-J33</f>
        <v>405</v>
      </c>
      <c r="L33" s="15" t="n">
        <f aca="false">IF(K33&gt;=5000,0.12,IF(K33&gt;=2000,0.08,IF(K33&gt;=500,0.05,0.03)))</f>
        <v>0.03</v>
      </c>
      <c r="M33" s="14" t="n">
        <f aca="false">K33*L33</f>
        <v>12.15</v>
      </c>
      <c r="N33" s="14" t="n">
        <f aca="false">K33-M33</f>
        <v>392.85</v>
      </c>
    </row>
    <row r="34" customFormat="false" ht="15" hidden="false" customHeight="false" outlineLevel="0" collapsed="false">
      <c r="A34" s="10" t="n">
        <v>33</v>
      </c>
      <c r="B34" s="10" t="s">
        <v>102</v>
      </c>
      <c r="C34" s="10" t="s">
        <v>76</v>
      </c>
      <c r="D34" s="10" t="s">
        <v>46</v>
      </c>
      <c r="E34" s="10" t="s">
        <v>103</v>
      </c>
      <c r="F34" s="10" t="n">
        <v>12</v>
      </c>
      <c r="G34" s="11" t="n">
        <v>44.9</v>
      </c>
      <c r="H34" s="14" t="n">
        <f aca="false">F34*G34</f>
        <v>538.8</v>
      </c>
      <c r="I34" s="15" t="n">
        <f aca="false">IF(F34&gt;=50,0.15,IF(F34&gt;=20,0.1,IF(F34&gt;=10,0.05,0)))</f>
        <v>0.05</v>
      </c>
      <c r="J34" s="14" t="n">
        <f aca="false">H34*I34</f>
        <v>26.94</v>
      </c>
      <c r="K34" s="14" t="n">
        <f aca="false">H34-J34</f>
        <v>511.86</v>
      </c>
      <c r="L34" s="15" t="n">
        <f aca="false">IF(K34&gt;=5000,0.12,IF(K34&gt;=2000,0.08,IF(K34&gt;=500,0.05,0.03)))</f>
        <v>0.05</v>
      </c>
      <c r="M34" s="14" t="n">
        <f aca="false">K34*L34</f>
        <v>25.593</v>
      </c>
      <c r="N34" s="14" t="n">
        <f aca="false">K34-M34</f>
        <v>486.267</v>
      </c>
    </row>
    <row r="35" customFormat="false" ht="15" hidden="false" customHeight="false" outlineLevel="0" collapsed="false">
      <c r="A35" s="10" t="n">
        <v>34</v>
      </c>
      <c r="B35" s="10" t="s">
        <v>104</v>
      </c>
      <c r="C35" s="10" t="s">
        <v>59</v>
      </c>
      <c r="D35" s="10" t="s">
        <v>62</v>
      </c>
      <c r="E35" s="10" t="s">
        <v>63</v>
      </c>
      <c r="F35" s="10" t="n">
        <v>5</v>
      </c>
      <c r="G35" s="11" t="n">
        <v>39.9</v>
      </c>
      <c r="H35" s="14" t="n">
        <f aca="false">F35*G35</f>
        <v>199.5</v>
      </c>
      <c r="I35" s="15" t="n">
        <f aca="false">IF(F35&gt;=50,0.15,IF(F35&gt;=20,0.1,IF(F35&gt;=10,0.05,0)))</f>
        <v>0</v>
      </c>
      <c r="J35" s="14" t="n">
        <f aca="false">H35*I35</f>
        <v>0</v>
      </c>
      <c r="K35" s="14" t="n">
        <f aca="false">H35-J35</f>
        <v>199.5</v>
      </c>
      <c r="L35" s="15" t="n">
        <f aca="false">IF(K35&gt;=5000,0.12,IF(K35&gt;=2000,0.08,IF(K35&gt;=500,0.05,0.03)))</f>
        <v>0.03</v>
      </c>
      <c r="M35" s="14" t="n">
        <f aca="false">K35*L35</f>
        <v>5.985</v>
      </c>
      <c r="N35" s="14" t="n">
        <f aca="false">K35-M35</f>
        <v>193.515</v>
      </c>
    </row>
    <row r="36" customFormat="false" ht="15" hidden="false" customHeight="false" outlineLevel="0" collapsed="false">
      <c r="A36" s="10" t="n">
        <v>35</v>
      </c>
      <c r="B36" s="10" t="s">
        <v>104</v>
      </c>
      <c r="C36" s="10" t="s">
        <v>45</v>
      </c>
      <c r="D36" s="10" t="s">
        <v>62</v>
      </c>
      <c r="E36" s="10" t="s">
        <v>87</v>
      </c>
      <c r="F36" s="10" t="n">
        <v>60</v>
      </c>
      <c r="G36" s="11" t="n">
        <v>159.9</v>
      </c>
      <c r="H36" s="14" t="n">
        <f aca="false">F36*G36</f>
        <v>9594</v>
      </c>
      <c r="I36" s="15" t="n">
        <f aca="false">IF(F36&gt;=50,0.15,IF(F36&gt;=20,0.1,IF(F36&gt;=10,0.05,0)))</f>
        <v>0.15</v>
      </c>
      <c r="J36" s="14" t="n">
        <f aca="false">H36*I36</f>
        <v>1439.1</v>
      </c>
      <c r="K36" s="14" t="n">
        <f aca="false">H36-J36</f>
        <v>8154.9</v>
      </c>
      <c r="L36" s="15" t="n">
        <f aca="false">IF(K36&gt;=5000,0.12,IF(K36&gt;=2000,0.08,IF(K36&gt;=500,0.05,0.03)))</f>
        <v>0.12</v>
      </c>
      <c r="M36" s="14" t="n">
        <f aca="false">K36*L36</f>
        <v>978.588</v>
      </c>
      <c r="N36" s="14" t="n">
        <f aca="false">K36-M36</f>
        <v>7176.312</v>
      </c>
    </row>
    <row r="37" customFormat="false" ht="15" hidden="false" customHeight="false" outlineLevel="0" collapsed="false">
      <c r="A37" s="10" t="n">
        <v>36</v>
      </c>
      <c r="B37" s="10" t="s">
        <v>105</v>
      </c>
      <c r="C37" s="10" t="s">
        <v>76</v>
      </c>
      <c r="D37" s="10" t="s">
        <v>56</v>
      </c>
      <c r="E37" s="10" t="s">
        <v>99</v>
      </c>
      <c r="F37" s="10" t="n">
        <v>2</v>
      </c>
      <c r="G37" s="11" t="n">
        <v>34.9</v>
      </c>
      <c r="H37" s="14" t="n">
        <f aca="false">F37*G37</f>
        <v>69.8</v>
      </c>
      <c r="I37" s="15" t="n">
        <f aca="false">IF(F37&gt;=50,0.15,IF(F37&gt;=20,0.1,IF(F37&gt;=10,0.05,0)))</f>
        <v>0</v>
      </c>
      <c r="J37" s="14" t="n">
        <f aca="false">H37*I37</f>
        <v>0</v>
      </c>
      <c r="K37" s="14" t="n">
        <f aca="false">H37-J37</f>
        <v>69.8</v>
      </c>
      <c r="L37" s="15" t="n">
        <f aca="false">IF(K37&gt;=5000,0.12,IF(K37&gt;=2000,0.08,IF(K37&gt;=500,0.05,0.03)))</f>
        <v>0.03</v>
      </c>
      <c r="M37" s="14" t="n">
        <f aca="false">K37*L37</f>
        <v>2.094</v>
      </c>
      <c r="N37" s="14" t="n">
        <f aca="false">K37-M37</f>
        <v>67.706</v>
      </c>
    </row>
    <row r="38" customFormat="false" ht="15" hidden="false" customHeight="false" outlineLevel="0" collapsed="false">
      <c r="A38" s="10" t="n">
        <v>37</v>
      </c>
      <c r="B38" s="10" t="s">
        <v>106</v>
      </c>
      <c r="C38" s="10" t="s">
        <v>48</v>
      </c>
      <c r="D38" s="10" t="s">
        <v>56</v>
      </c>
      <c r="E38" s="10" t="s">
        <v>101</v>
      </c>
      <c r="F38" s="10" t="n">
        <v>5</v>
      </c>
      <c r="G38" s="11" t="n">
        <v>22.5</v>
      </c>
      <c r="H38" s="14" t="n">
        <f aca="false">F38*G38</f>
        <v>112.5</v>
      </c>
      <c r="I38" s="15" t="n">
        <f aca="false">IF(F38&gt;=50,0.15,IF(F38&gt;=20,0.1,IF(F38&gt;=10,0.05,0)))</f>
        <v>0</v>
      </c>
      <c r="J38" s="14" t="n">
        <f aca="false">H38*I38</f>
        <v>0</v>
      </c>
      <c r="K38" s="14" t="n">
        <f aca="false">H38-J38</f>
        <v>112.5</v>
      </c>
      <c r="L38" s="15" t="n">
        <f aca="false">IF(K38&gt;=5000,0.12,IF(K38&gt;=2000,0.08,IF(K38&gt;=500,0.05,0.03)))</f>
        <v>0.03</v>
      </c>
      <c r="M38" s="14" t="n">
        <f aca="false">K38*L38</f>
        <v>3.375</v>
      </c>
      <c r="N38" s="14" t="n">
        <f aca="false">K38-M38</f>
        <v>109.125</v>
      </c>
    </row>
    <row r="39" customFormat="false" ht="15" hidden="false" customHeight="false" outlineLevel="0" collapsed="false">
      <c r="A39" s="10" t="n">
        <v>38</v>
      </c>
      <c r="B39" s="10" t="s">
        <v>107</v>
      </c>
      <c r="C39" s="10" t="s">
        <v>59</v>
      </c>
      <c r="D39" s="10" t="s">
        <v>62</v>
      </c>
      <c r="E39" s="10" t="s">
        <v>63</v>
      </c>
      <c r="F39" s="10" t="n">
        <v>40</v>
      </c>
      <c r="G39" s="11" t="n">
        <v>39.9</v>
      </c>
      <c r="H39" s="14" t="n">
        <f aca="false">F39*G39</f>
        <v>1596</v>
      </c>
      <c r="I39" s="15" t="n">
        <f aca="false">IF(F39&gt;=50,0.15,IF(F39&gt;=20,0.1,IF(F39&gt;=10,0.05,0)))</f>
        <v>0.1</v>
      </c>
      <c r="J39" s="14" t="n">
        <f aca="false">H39*I39</f>
        <v>159.6</v>
      </c>
      <c r="K39" s="14" t="n">
        <f aca="false">H39-J39</f>
        <v>1436.4</v>
      </c>
      <c r="L39" s="15" t="n">
        <f aca="false">IF(K39&gt;=5000,0.12,IF(K39&gt;=2000,0.08,IF(K39&gt;=500,0.05,0.03)))</f>
        <v>0.05</v>
      </c>
      <c r="M39" s="14" t="n">
        <f aca="false">K39*L39</f>
        <v>71.82</v>
      </c>
      <c r="N39" s="14" t="n">
        <f aca="false">K39-M39</f>
        <v>1364.58</v>
      </c>
    </row>
    <row r="40" customFormat="false" ht="15" hidden="false" customHeight="false" outlineLevel="0" collapsed="false">
      <c r="A40" s="10" t="n">
        <v>39</v>
      </c>
      <c r="B40" s="10" t="s">
        <v>108</v>
      </c>
      <c r="C40" s="10" t="s">
        <v>78</v>
      </c>
      <c r="D40" s="10" t="s">
        <v>56</v>
      </c>
      <c r="E40" s="10" t="s">
        <v>99</v>
      </c>
      <c r="F40" s="10" t="n">
        <v>15</v>
      </c>
      <c r="G40" s="11" t="n">
        <v>34.9</v>
      </c>
      <c r="H40" s="14" t="n">
        <f aca="false">F40*G40</f>
        <v>523.5</v>
      </c>
      <c r="I40" s="15" t="n">
        <f aca="false">IF(F40&gt;=50,0.15,IF(F40&gt;=20,0.1,IF(F40&gt;=10,0.05,0)))</f>
        <v>0.05</v>
      </c>
      <c r="J40" s="14" t="n">
        <f aca="false">H40*I40</f>
        <v>26.175</v>
      </c>
      <c r="K40" s="14" t="n">
        <f aca="false">H40-J40</f>
        <v>497.325</v>
      </c>
      <c r="L40" s="15" t="n">
        <f aca="false">IF(K40&gt;=5000,0.12,IF(K40&gt;=2000,0.08,IF(K40&gt;=500,0.05,0.03)))</f>
        <v>0.03</v>
      </c>
      <c r="M40" s="14" t="n">
        <f aca="false">K40*L40</f>
        <v>14.91975</v>
      </c>
      <c r="N40" s="14" t="n">
        <f aca="false">K40-M40</f>
        <v>482.40525</v>
      </c>
    </row>
    <row r="41" customFormat="false" ht="15" hidden="false" customHeight="false" outlineLevel="0" collapsed="false">
      <c r="A41" s="10" t="n">
        <v>40</v>
      </c>
      <c r="B41" s="10" t="s">
        <v>108</v>
      </c>
      <c r="C41" s="10" t="s">
        <v>51</v>
      </c>
      <c r="D41" s="10" t="s">
        <v>62</v>
      </c>
      <c r="E41" s="10" t="s">
        <v>87</v>
      </c>
      <c r="F41" s="10" t="n">
        <v>40</v>
      </c>
      <c r="G41" s="11" t="n">
        <v>159.9</v>
      </c>
      <c r="H41" s="14" t="n">
        <f aca="false">F41*G41</f>
        <v>6396</v>
      </c>
      <c r="I41" s="15" t="n">
        <f aca="false">IF(F41&gt;=50,0.15,IF(F41&gt;=20,0.1,IF(F41&gt;=10,0.05,0)))</f>
        <v>0.1</v>
      </c>
      <c r="J41" s="14" t="n">
        <f aca="false">H41*I41</f>
        <v>639.6</v>
      </c>
      <c r="K41" s="14" t="n">
        <f aca="false">H41-J41</f>
        <v>5756.4</v>
      </c>
      <c r="L41" s="15" t="n">
        <f aca="false">IF(K41&gt;=5000,0.12,IF(K41&gt;=2000,0.08,IF(K41&gt;=500,0.05,0.03)))</f>
        <v>0.12</v>
      </c>
      <c r="M41" s="14" t="n">
        <f aca="false">K41*L41</f>
        <v>690.768</v>
      </c>
      <c r="N41" s="14" t="n">
        <f aca="false">K41-M41</f>
        <v>5065.632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5" min="4" style="0" width="20"/>
    <col collapsed="false" customWidth="true" hidden="false" outlineLevel="0" max="6" min="6" style="0" width="18"/>
  </cols>
  <sheetData>
    <row r="2" customFormat="false" ht="19.7" hidden="false" customHeight="false" outlineLevel="0" collapsed="false">
      <c r="B2" s="1" t="s">
        <v>109</v>
      </c>
    </row>
    <row r="4" customFormat="false" ht="15" hidden="false" customHeight="false" outlineLevel="0" collapsed="false">
      <c r="B4" s="9" t="s">
        <v>32</v>
      </c>
      <c r="C4" s="9" t="s">
        <v>110</v>
      </c>
      <c r="D4" s="9" t="s">
        <v>111</v>
      </c>
      <c r="E4" s="9" t="s">
        <v>112</v>
      </c>
      <c r="F4" s="9" t="s">
        <v>113</v>
      </c>
    </row>
    <row r="5" customFormat="false" ht="15" hidden="false" customHeight="false" outlineLevel="0" collapsed="false">
      <c r="B5" s="10" t="s">
        <v>81</v>
      </c>
      <c r="C5" s="16" t="n">
        <f aca="false">COUNTIF(Vendas!$C$2:$C$41,B5)</f>
        <v>2</v>
      </c>
      <c r="D5" s="12" t="n">
        <f aca="false">SUMIF(Vendas!$C$2:$C$41,B5,Vendas!$K$2:$K$41)</f>
        <v>3806.36</v>
      </c>
      <c r="E5" s="12" t="n">
        <f aca="false">SUMIF(Vendas!$C$2:$C$41,B5,Vendas!$M$2:$M$41)</f>
        <v>265.5238</v>
      </c>
      <c r="F5" s="12" t="n">
        <f aca="false">IF(C5=0,0,D5/C5)</f>
        <v>1903.18</v>
      </c>
    </row>
    <row r="6" customFormat="false" ht="15" hidden="false" customHeight="false" outlineLevel="0" collapsed="false">
      <c r="B6" s="10" t="s">
        <v>55</v>
      </c>
      <c r="C6" s="17" t="n">
        <f aca="false">COUNTIF(Vendas!$C$2:$C$41,B6)</f>
        <v>2</v>
      </c>
      <c r="D6" s="14" t="n">
        <f aca="false">SUMIF(Vendas!$C$2:$C$41,B6,Vendas!$K$2:$K$41)</f>
        <v>2464.2</v>
      </c>
      <c r="E6" s="14" t="n">
        <f aca="false">SUMIF(Vendas!$C$2:$C$41,B6,Vendas!$M$2:$M$41)</f>
        <v>175.671</v>
      </c>
      <c r="F6" s="14" t="n">
        <f aca="false">IF(C6=0,0,D6/C6)</f>
        <v>1232.1</v>
      </c>
    </row>
    <row r="7" customFormat="false" ht="15" hidden="false" customHeight="false" outlineLevel="0" collapsed="false">
      <c r="B7" s="10" t="s">
        <v>45</v>
      </c>
      <c r="C7" s="17" t="n">
        <f aca="false">COUNTIF(Vendas!$C$2:$C$41,B7)</f>
        <v>5</v>
      </c>
      <c r="D7" s="14" t="n">
        <f aca="false">SUMIF(Vendas!$C$2:$C$41,B7,Vendas!$K$2:$K$41)</f>
        <v>19125.86</v>
      </c>
      <c r="E7" s="14" t="n">
        <f aca="false">SUMIF(Vendas!$C$2:$C$41,B7,Vendas!$M$2:$M$41)</f>
        <v>2101.347</v>
      </c>
      <c r="F7" s="14" t="n">
        <f aca="false">IF(C7=0,0,D7/C7)</f>
        <v>3825.172</v>
      </c>
    </row>
    <row r="8" customFormat="false" ht="15" hidden="false" customHeight="false" outlineLevel="0" collapsed="false">
      <c r="B8" s="10" t="s">
        <v>65</v>
      </c>
      <c r="C8" s="17" t="n">
        <f aca="false">COUNTIF(Vendas!$C$2:$C$41,B8)</f>
        <v>3</v>
      </c>
      <c r="D8" s="14" t="n">
        <f aca="false">SUMIF(Vendas!$C$2:$C$41,B8,Vendas!$K$2:$K$41)</f>
        <v>3091.45</v>
      </c>
      <c r="E8" s="14" t="n">
        <f aca="false">SUMIF(Vendas!$C$2:$C$41,B8,Vendas!$M$2:$M$41)</f>
        <v>209.873</v>
      </c>
      <c r="F8" s="14" t="n">
        <f aca="false">IF(C8=0,0,D8/C8)</f>
        <v>1030.48333333333</v>
      </c>
    </row>
    <row r="9" customFormat="false" ht="15" hidden="false" customHeight="false" outlineLevel="0" collapsed="false">
      <c r="B9" s="10" t="s">
        <v>51</v>
      </c>
      <c r="C9" s="17" t="n">
        <f aca="false">COUNTIF(Vendas!$C$2:$C$41,B9)</f>
        <v>5</v>
      </c>
      <c r="D9" s="14" t="n">
        <f aca="false">SUMIF(Vendas!$C$2:$C$41,B9,Vendas!$K$2:$K$41)</f>
        <v>9329.99</v>
      </c>
      <c r="E9" s="14" t="n">
        <f aca="false">SUMIF(Vendas!$C$2:$C$41,B9,Vendas!$M$2:$M$41)</f>
        <v>867.0555</v>
      </c>
      <c r="F9" s="14" t="n">
        <f aca="false">IF(C9=0,0,D9/C9)</f>
        <v>1865.998</v>
      </c>
    </row>
    <row r="10" customFormat="false" ht="15" hidden="false" customHeight="false" outlineLevel="0" collapsed="false">
      <c r="B10" s="10" t="s">
        <v>78</v>
      </c>
      <c r="C10" s="17" t="n">
        <f aca="false">COUNTIF(Vendas!$C$2:$C$41,B10)</f>
        <v>4</v>
      </c>
      <c r="D10" s="14" t="n">
        <f aca="false">SUMIF(Vendas!$C$2:$C$41,B10,Vendas!$K$2:$K$41)</f>
        <v>10537.875</v>
      </c>
      <c r="E10" s="14" t="n">
        <f aca="false">SUMIF(Vendas!$C$2:$C$41,B10,Vendas!$M$2:$M$41)</f>
        <v>1150.79475</v>
      </c>
      <c r="F10" s="14" t="n">
        <f aca="false">IF(C10=0,0,D10/C10)</f>
        <v>2634.46875</v>
      </c>
    </row>
    <row r="11" customFormat="false" ht="15" hidden="false" customHeight="false" outlineLevel="0" collapsed="false">
      <c r="B11" s="10" t="s">
        <v>59</v>
      </c>
      <c r="C11" s="17" t="n">
        <f aca="false">COUNTIF(Vendas!$C$2:$C$41,B11)</f>
        <v>6</v>
      </c>
      <c r="D11" s="14" t="n">
        <f aca="false">SUMIF(Vendas!$C$2:$C$41,B11,Vendas!$K$2:$K$41)</f>
        <v>4435.09</v>
      </c>
      <c r="E11" s="14" t="n">
        <f aca="false">SUMIF(Vendas!$C$2:$C$41,B11,Vendas!$M$2:$M$41)</f>
        <v>209.6645</v>
      </c>
      <c r="F11" s="14" t="n">
        <f aca="false">IF(C11=0,0,D11/C11)</f>
        <v>739.181666666667</v>
      </c>
    </row>
    <row r="12" customFormat="false" ht="15" hidden="false" customHeight="false" outlineLevel="0" collapsed="false">
      <c r="B12" s="10" t="s">
        <v>72</v>
      </c>
      <c r="C12" s="17" t="n">
        <f aca="false">COUNTIF(Vendas!$C$2:$C$41,B12)</f>
        <v>3</v>
      </c>
      <c r="D12" s="14" t="n">
        <f aca="false">SUMIF(Vendas!$C$2:$C$41,B12,Vendas!$K$2:$K$41)</f>
        <v>1486.25</v>
      </c>
      <c r="E12" s="14" t="n">
        <f aca="false">SUMIF(Vendas!$C$2:$C$41,B12,Vendas!$M$2:$M$41)</f>
        <v>56.0355</v>
      </c>
      <c r="F12" s="14" t="n">
        <f aca="false">IF(C12=0,0,D12/C12)</f>
        <v>495.416666666667</v>
      </c>
    </row>
    <row r="13" customFormat="false" ht="15" hidden="false" customHeight="false" outlineLevel="0" collapsed="false">
      <c r="B13" s="10" t="s">
        <v>48</v>
      </c>
      <c r="C13" s="17" t="n">
        <f aca="false">COUNTIF(Vendas!$C$2:$C$41,B13)</f>
        <v>6</v>
      </c>
      <c r="D13" s="14" t="n">
        <f aca="false">SUMIF(Vendas!$C$2:$C$41,B13,Vendas!$K$2:$K$41)</f>
        <v>13992.075</v>
      </c>
      <c r="E13" s="14" t="n">
        <f aca="false">SUMIF(Vendas!$C$2:$C$41,B13,Vendas!$M$2:$M$41)</f>
        <v>1542.696</v>
      </c>
      <c r="F13" s="14" t="n">
        <f aca="false">IF(C13=0,0,D13/C13)</f>
        <v>2332.0125</v>
      </c>
    </row>
    <row r="14" customFormat="false" ht="15" hidden="false" customHeight="false" outlineLevel="0" collapsed="false">
      <c r="B14" s="10" t="s">
        <v>76</v>
      </c>
      <c r="C14" s="17" t="n">
        <f aca="false">COUNTIF(Vendas!$C$2:$C$41,B14)</f>
        <v>4</v>
      </c>
      <c r="D14" s="14" t="n">
        <f aca="false">SUMIF(Vendas!$C$2:$C$41,B14,Vendas!$K$2:$K$41)</f>
        <v>2804.135</v>
      </c>
      <c r="E14" s="14" t="n">
        <f aca="false">SUMIF(Vendas!$C$2:$C$41,B14,Vendas!$M$2:$M$41)</f>
        <v>130.28925</v>
      </c>
      <c r="F14" s="14" t="n">
        <f aca="false">IF(C14=0,0,D14/C14)</f>
        <v>701.03375</v>
      </c>
    </row>
    <row r="16" customFormat="false" ht="15" hidden="false" customHeight="false" outlineLevel="0" collapsed="false">
      <c r="B16" s="3" t="s">
        <v>114</v>
      </c>
    </row>
    <row r="17" customFormat="false" ht="15" hidden="false" customHeight="false" outlineLevel="0" collapsed="false">
      <c r="B17" s="6" t="s">
        <v>115</v>
      </c>
      <c r="D17" s="12" t="n">
        <f aca="false">SUM(D5:D14)</f>
        <v>71073.285</v>
      </c>
    </row>
    <row r="18" customFormat="false" ht="15" hidden="false" customHeight="false" outlineLevel="0" collapsed="false">
      <c r="B18" s="6" t="s">
        <v>116</v>
      </c>
      <c r="D18" s="14" t="n">
        <f aca="false">SUM(E5:E14)</f>
        <v>6708.9503</v>
      </c>
    </row>
    <row r="19" customFormat="false" ht="15" hidden="false" customHeight="false" outlineLevel="0" collapsed="false">
      <c r="B19" s="6" t="s">
        <v>117</v>
      </c>
      <c r="D19" s="14" t="n">
        <f aca="false">MAX(Vendas!$K$2:$K$41)</f>
        <v>9131.85</v>
      </c>
    </row>
    <row r="20" customFormat="false" ht="15" hidden="false" customHeight="false" outlineLevel="0" collapsed="false">
      <c r="B20" s="6" t="s">
        <v>118</v>
      </c>
      <c r="D20" s="17" t="str">
        <f aca="false">INDEX(B5:B14,MATCH(MAX(D5:D14),D5:D14,0))</f>
        <v>Fernanda Alves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2026-08-06T20:06:06Z</dcterms:created>
  <dc:creator>openpyxl</dc:creator>
  <dc:description/>
  <dc:language>en-US</dc:language>
  <cp:lastModifiedBy/>
  <dcterms:modified xsi:type="dcterms:W3CDTF">2026-08-06T20:06:06Z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
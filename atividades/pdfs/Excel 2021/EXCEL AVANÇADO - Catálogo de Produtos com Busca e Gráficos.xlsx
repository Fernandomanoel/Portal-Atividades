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Produtos" sheetId="2" state="visible" r:id="rId4"/>
    <sheet name="Vendas" sheetId="3" state="visible" r:id="rId5"/>
    <sheet name="Busca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<sst xmlns="http://schemas.openxmlformats.org/spreadsheetml/2006/main" count="236" uniqueCount="119">
  <si>
    <t xml:space="preserve">EXCEL AVANÇADO — Catálogo de Produtos: Busca e Gráficos</t>
  </si>
  <si>
    <t xml:space="preserve">Atividade de PROCV / ÍNDICE+CORRESP e criação de gráficos</t>
  </si>
  <si>
    <t xml:space="preserve">Objetivo</t>
  </si>
  <si>
    <t xml:space="preserve">A aba "Produtos" tem o catálogo completo da loja. A aba "Vendas" já mostra como usar PROCV para trazer Nome, Categoria e Preço a partir do Código do produto. A aba "Dashboard" resume tudo em tabelas e gráficos prontos.</t>
  </si>
  <si>
    <t xml:space="preserve">O que fazer</t>
  </si>
  <si>
    <t xml:space="preserve">1. Estude a aba "Vendas": as colunas de busca já usam PROCV e ÍNDICE+CORRESP prontos.</t>
  </si>
  <si>
    <t xml:space="preserve">2. Na aba "Busca", a linha de EXEMPLO (fundo azul-claro) já funciona: digite um código e veja os dados.</t>
  </si>
  <si>
    <t xml:space="preserve">3. Complete o "Pratique Você Mesmo" (fundo amarelo): escreva as mesmas fórmulas para o código indicado.</t>
  </si>
  <si>
    <t xml:space="preserve">4. Na aba "Dashboard", veja como as tabelas de resumo (SOMASE) alimentam os 3 gráficos.</t>
  </si>
  <si>
    <t xml:space="preserve">5. Desafio extra: troque o código de busca na aba "Busca" por outros códigos da aba "Produtos" e confira se atualiza sozinho.</t>
  </si>
  <si>
    <t xml:space="preserve">Legenda de cores</t>
  </si>
  <si>
    <t xml:space="preserve">  Azul-claro = exemplo já resolvido, para você estudar</t>
  </si>
  <si>
    <t xml:space="preserve">  Amarelo = célula que você precisa preencher com fórmula</t>
  </si>
  <si>
    <t xml:space="preserve">Código</t>
  </si>
  <si>
    <t xml:space="preserve">Nome do Produto</t>
  </si>
  <si>
    <t xml:space="preserve">Categoria</t>
  </si>
  <si>
    <t xml:space="preserve">Preço Unitário (R$)</t>
  </si>
  <si>
    <t xml:space="preserve">Estoque (un)</t>
  </si>
  <si>
    <t xml:space="preserve">ELE001</t>
  </si>
  <si>
    <t xml:space="preserve">Fone de Ouvido Bluetooth</t>
  </si>
  <si>
    <t xml:space="preserve">Eletrônicos</t>
  </si>
  <si>
    <t xml:space="preserve">ELE002</t>
  </si>
  <si>
    <t xml:space="preserve">Caixa de Som Portátil</t>
  </si>
  <si>
    <t xml:space="preserve">ELE003</t>
  </si>
  <si>
    <t xml:space="preserve">Carregador Turbo</t>
  </si>
  <si>
    <t xml:space="preserve">ELE004</t>
  </si>
  <si>
    <t xml:space="preserve">Smartwatch</t>
  </si>
  <si>
    <t xml:space="preserve">ELE005</t>
  </si>
  <si>
    <t xml:space="preserve">Mouse sem Fio</t>
  </si>
  <si>
    <t xml:space="preserve">ELE006</t>
  </si>
  <si>
    <t xml:space="preserve">Power Bank 10000mAh</t>
  </si>
  <si>
    <t xml:space="preserve">ELE007</t>
  </si>
  <si>
    <t xml:space="preserve">Fone com Fio P2</t>
  </si>
  <si>
    <t xml:space="preserve">INF001</t>
  </si>
  <si>
    <t xml:space="preserve">Pendrive 64GB</t>
  </si>
  <si>
    <t xml:space="preserve">Informática</t>
  </si>
  <si>
    <t xml:space="preserve">INF002</t>
  </si>
  <si>
    <t xml:space="preserve">HD Externo 1TB</t>
  </si>
  <si>
    <t xml:space="preserve">INF003</t>
  </si>
  <si>
    <t xml:space="preserve">Teclado Mecânico</t>
  </si>
  <si>
    <t xml:space="preserve">INF004</t>
  </si>
  <si>
    <t xml:space="preserve">Webcam Full HD</t>
  </si>
  <si>
    <t xml:space="preserve">INF005</t>
  </si>
  <si>
    <t xml:space="preserve">Cabo HDMI 2m</t>
  </si>
  <si>
    <t xml:space="preserve">INF006</t>
  </si>
  <si>
    <t xml:space="preserve">SSD 480GB</t>
  </si>
  <si>
    <t xml:space="preserve">INF007</t>
  </si>
  <si>
    <t xml:space="preserve">Hub USB-C</t>
  </si>
  <si>
    <t xml:space="preserve">PAP001</t>
  </si>
  <si>
    <t xml:space="preserve">Caderno Universitário</t>
  </si>
  <si>
    <t xml:space="preserve">Papelaria</t>
  </si>
  <si>
    <t xml:space="preserve">PAP002</t>
  </si>
  <si>
    <t xml:space="preserve">Kit de Canetas</t>
  </si>
  <si>
    <t xml:space="preserve">PAP003</t>
  </si>
  <si>
    <t xml:space="preserve">Mochila Escolar</t>
  </si>
  <si>
    <t xml:space="preserve">PAP004</t>
  </si>
  <si>
    <t xml:space="preserve">Estojo Duplo</t>
  </si>
  <si>
    <t xml:space="preserve">PAP005</t>
  </si>
  <si>
    <t xml:space="preserve">Agenda Anual</t>
  </si>
  <si>
    <t xml:space="preserve">PAP006</t>
  </si>
  <si>
    <t xml:space="preserve">Marcador de Texto</t>
  </si>
  <si>
    <t xml:space="preserve">PAP007</t>
  </si>
  <si>
    <t xml:space="preserve">Calculadora Científica</t>
  </si>
  <si>
    <t xml:space="preserve">CAS001</t>
  </si>
  <si>
    <t xml:space="preserve">Jogo de Panelas</t>
  </si>
  <si>
    <t xml:space="preserve">Casa</t>
  </si>
  <si>
    <t xml:space="preserve">CAS002</t>
  </si>
  <si>
    <t xml:space="preserve">Kit de Toalhas</t>
  </si>
  <si>
    <t xml:space="preserve">CAS003</t>
  </si>
  <si>
    <t xml:space="preserve">Luminária de Mesa</t>
  </si>
  <si>
    <t xml:space="preserve">CAS004</t>
  </si>
  <si>
    <t xml:space="preserve">Organizador Multiuso</t>
  </si>
  <si>
    <t xml:space="preserve">CAS005</t>
  </si>
  <si>
    <t xml:space="preserve">Jogo de Cama Casal</t>
  </si>
  <si>
    <t xml:space="preserve">CAS006</t>
  </si>
  <si>
    <t xml:space="preserve">Difusor de Aromas</t>
  </si>
  <si>
    <t xml:space="preserve">CAS007</t>
  </si>
  <si>
    <t xml:space="preserve">Tapete para Sala</t>
  </si>
  <si>
    <t xml:space="preserve">VES001</t>
  </si>
  <si>
    <t xml:space="preserve">Camiseta Básica</t>
  </si>
  <si>
    <t xml:space="preserve">Vestuário</t>
  </si>
  <si>
    <t xml:space="preserve">VES002</t>
  </si>
  <si>
    <t xml:space="preserve">Jaqueta Corta-Vento</t>
  </si>
  <si>
    <t xml:space="preserve">VES003</t>
  </si>
  <si>
    <t xml:space="preserve">Tênis Esportivo</t>
  </si>
  <si>
    <t xml:space="preserve">VES004</t>
  </si>
  <si>
    <t xml:space="preserve">Boné Ajustável</t>
  </si>
  <si>
    <t xml:space="preserve">VES005</t>
  </si>
  <si>
    <t xml:space="preserve">Meia Kit c/ 3</t>
  </si>
  <si>
    <t xml:space="preserve">VES006</t>
  </si>
  <si>
    <t xml:space="preserve">Bermuda Moletom</t>
  </si>
  <si>
    <t xml:space="preserve">VES007</t>
  </si>
  <si>
    <t xml:space="preserve">Óculos de Sol</t>
  </si>
  <si>
    <t xml:space="preserve">Nº</t>
  </si>
  <si>
    <t xml:space="preserve">Data</t>
  </si>
  <si>
    <t xml:space="preserve">Quantidade</t>
  </si>
  <si>
    <t xml:space="preserve">Nome do Produto (PROCV)</t>
  </si>
  <si>
    <t xml:space="preserve">Categoria (ÍNDICE+CORRESP)</t>
  </si>
  <si>
    <t xml:space="preserve">Preço Unitário (PROCV)</t>
  </si>
  <si>
    <t xml:space="preserve">Valor Total (R$)</t>
  </si>
  <si>
    <t xml:space="preserve">Painel de Busca de Produtos</t>
  </si>
  <si>
    <t xml:space="preserve">EXEMPLO (já funciona)</t>
  </si>
  <si>
    <t xml:space="preserve">Digite o Código do Produto:</t>
  </si>
  <si>
    <t xml:space="preserve">Estoque Disponível (un)</t>
  </si>
  <si>
    <t xml:space="preserve">PRATIQUE VOCÊ MESMO</t>
  </si>
  <si>
    <t xml:space="preserve">Código a buscar (já preenchido):</t>
  </si>
  <si>
    <t xml:space="preserve">Dica: use a mesma fórmula do exemplo, trocando a referência $D$5 por $D$13.</t>
  </si>
  <si>
    <t xml:space="preserve">Dashboard de Vendas</t>
  </si>
  <si>
    <t xml:space="preserve">Vendas por Categoria</t>
  </si>
  <si>
    <t xml:space="preserve">Vendas por Mês</t>
  </si>
  <si>
    <t xml:space="preserve">Total Vendido (R$)</t>
  </si>
  <si>
    <t xml:space="preserve">Mês</t>
  </si>
  <si>
    <t xml:space="preserve">Jan/2026</t>
  </si>
  <si>
    <t xml:space="preserve">Fev/2026</t>
  </si>
  <si>
    <t xml:space="preserve">Mar/2026</t>
  </si>
  <si>
    <t xml:space="preserve">Abr/2026</t>
  </si>
  <si>
    <t xml:space="preserve">Mai/2026</t>
  </si>
  <si>
    <t xml:space="preserve">Jun/2026</t>
  </si>
  <si>
    <t xml:space="preserve">Jul/2026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</si>
</sst>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dd/mm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3A8A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3A8A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6E4FF"/>
        <bgColor rgb="FFD9D9D9"/>
      </patternFill>
    </fill>
    <fill>
      <patternFill patternType="solid">
        <fgColor rgb="FFFFF2A6"/>
        <bgColor rgb="FFF9F9F9"/>
      </patternFill>
    </fill>
    <fill>
      <patternFill patternType="solid">
        <fgColor rgb="FF1E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9F9F9"/>
      <rgbColor rgb="FFD6E4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6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C0504D"/>
      <rgbColor rgb="FF1E3A8A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Vendas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Dashboard!C5</c:f>
              <c:strCache>
                <c:ptCount val="1"/>
                <c:pt idx="0">
                  <c:v>Total Vendido (R$)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Dashboard!$B$6:$B$10</c:f>
              <c:strCache>
                <c:ptCount val="5"/>
                <c:pt idx="0">
                  <c:v>Eletrônicos</c:v>
                </c:pt>
                <c:pt idx="1">
                  <c:v>Informática</c:v>
                </c:pt>
                <c:pt idx="2">
                  <c:v>Papelaria</c:v>
                </c:pt>
                <c:pt idx="3">
                  <c:v>Casa</c:v>
                </c:pt>
                <c:pt idx="4">
                  <c:v>Vestuário</c:v>
                </c:pt>
              </c:strCache>
            </c:strRef>
          </c:cat>
          <c:val>
            <c:numRef>
              <c:f>Dashboard!$C$6:$C$10</c:f>
              <c:numCache>
                <c:formatCode>"R$ "#,##0.00</c:formatCode>
                <c:ptCount val="5"/>
                <c:pt idx="0">
                  <c:v>6103.3</c:v>
                </c:pt>
                <c:pt idx="1">
                  <c:v>8511.8</c:v>
                </c:pt>
                <c:pt idx="2">
                  <c:v>3845.8</c:v>
                </c:pt>
                <c:pt idx="3">
                  <c:v>11621.3</c:v>
                </c:pt>
                <c:pt idx="4">
                  <c:v>11239.9</c:v>
                </c:pt>
              </c:numCache>
            </c:numRef>
          </c:val>
        </c:ser>
        <c:gapWidth val="150"/>
        <c:overlap val="0"/>
        <c:axId val="10501562"/>
        <c:axId val="2496703"/>
      </c:barChart>
      <c:catAx>
        <c:axId val="105015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96703"/>
        <c:crosses val="autoZero"/>
        <c:auto val="1"/>
        <c:lblAlgn val="ctr"/>
        <c:lblOffset val="100"/>
        <c:noMultiLvlLbl val="0"/>
      </c:catAx>
      <c:valAx>
        <c:axId val="24967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Vendido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015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Participação de Mercado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Dashboard!C5</c:f>
              <c:strCache>
                <c:ptCount val="1"/>
                <c:pt idx="0">
                  <c:v>Total Vendido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Dashboard!$B$6:$B$10</c:f>
              <c:strCache>
                <c:ptCount val="5"/>
                <c:pt idx="0">
                  <c:v>Eletrônicos</c:v>
                </c:pt>
                <c:pt idx="1">
                  <c:v>Informática</c:v>
                </c:pt>
                <c:pt idx="2">
                  <c:v>Papelaria</c:v>
                </c:pt>
                <c:pt idx="3">
                  <c:v>Casa</c:v>
                </c:pt>
                <c:pt idx="4">
                  <c:v>Vestuário</c:v>
                </c:pt>
              </c:strCache>
            </c:strRef>
          </c:cat>
          <c:val>
            <c:numRef>
              <c:f>Dashboard!$C$6:$C$10</c:f>
              <c:numCache>
                <c:formatCode>"R$ "#,##0.00</c:formatCode>
                <c:ptCount val="5"/>
                <c:pt idx="0">
                  <c:v>6103.3</c:v>
                </c:pt>
                <c:pt idx="1">
                  <c:v>8511.8</c:v>
                </c:pt>
                <c:pt idx="2">
                  <c:v>3845.8</c:v>
                </c:pt>
                <c:pt idx="3">
                  <c:v>11621.3</c:v>
                </c:pt>
                <c:pt idx="4">
                  <c:v>11239.9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Evolução das Vendas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Dashboard!G5</c:f>
              <c:strCache>
                <c:ptCount val="1"/>
                <c:pt idx="0">
                  <c:v>Total Vendido (R$)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Dashboard!$F$6:$F$12</c:f>
              <c:strCache>
                <c:ptCount val="7"/>
                <c:pt idx="0">
                  <c:v>Jan/2026</c:v>
                </c:pt>
                <c:pt idx="1">
                  <c:v>Fev/2026</c:v>
                </c:pt>
                <c:pt idx="2">
                  <c:v>Mar/2026</c:v>
                </c:pt>
                <c:pt idx="3">
                  <c:v>Abr/2026</c:v>
                </c:pt>
                <c:pt idx="4">
                  <c:v>Mai/2026</c:v>
                </c:pt>
                <c:pt idx="5">
                  <c:v>Jun/2026</c:v>
                </c:pt>
                <c:pt idx="6">
                  <c:v>Jul/2026</c:v>
                </c:pt>
              </c:strCache>
            </c:strRef>
          </c:cat>
          <c:val>
            <c:numRef>
              <c:f>Dashboard!$G$6:$G$12</c:f>
              <c:numCache>
                <c:formatCode>"R$ "#,##0.00</c:formatCode>
                <c:ptCount val="7"/>
                <c:pt idx="0">
                  <c:v>6743.3</c:v>
                </c:pt>
                <c:pt idx="1">
                  <c:v>5249.9</c:v>
                </c:pt>
                <c:pt idx="2">
                  <c:v>11282.1</c:v>
                </c:pt>
                <c:pt idx="3">
                  <c:v>7018.8</c:v>
                </c:pt>
                <c:pt idx="4">
                  <c:v>4807.3</c:v>
                </c:pt>
                <c:pt idx="5">
                  <c:v>5562.2</c:v>
                </c:pt>
                <c:pt idx="6">
                  <c:v>658.5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590823"/>
        <c:axId val="10456320"/>
      </c:lineChart>
      <c:catAx>
        <c:axId val="545908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56320"/>
        <c:crosses val="autoZero"/>
        <c:auto val="1"/>
        <c:lblAlgn val="ctr"/>
        <c:lblOffset val="100"/>
        <c:noMultiLvlLbl val="0"/>
      </c:catAx>
      <c:valAx>
        <c:axId val="104563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Vendido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908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130680</xdr:rowOff>
    </xdr:from>
    <xdr:to>
      <xdr:col>6</xdr:col>
      <xdr:colOff>425520</xdr:colOff>
      <xdr:row>30</xdr:row>
      <xdr:rowOff>131760</xdr:rowOff>
    </xdr:to>
    <xdr:graphicFrame>
      <xdr:nvGraphicFramePr>
        <xdr:cNvPr id="0" name="Chart 1"/>
        <xdr:cNvGraphicFramePr/>
      </xdr:nvGraphicFramePr>
      <xdr:xfrm>
        <a:off x="177840" y="2666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32</xdr:row>
      <xdr:rowOff>131040</xdr:rowOff>
    </xdr:from>
    <xdr:to>
      <xdr:col>6</xdr:col>
      <xdr:colOff>425520</xdr:colOff>
      <xdr:row>49</xdr:row>
      <xdr:rowOff>132120</xdr:rowOff>
    </xdr:to>
    <xdr:graphicFrame>
      <xdr:nvGraphicFramePr>
        <xdr:cNvPr id="1" name="Chart 2"/>
        <xdr:cNvGraphicFramePr/>
      </xdr:nvGraphicFramePr>
      <xdr:xfrm>
        <a:off x="177840" y="6286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51</xdr:row>
      <xdr:rowOff>131040</xdr:rowOff>
    </xdr:from>
    <xdr:to>
      <xdr:col>6</xdr:col>
      <xdr:colOff>425520</xdr:colOff>
      <xdr:row>68</xdr:row>
      <xdr:rowOff>132120</xdr:rowOff>
    </xdr:to>
    <xdr:graphicFrame>
      <xdr:nvGraphicFramePr>
        <xdr:cNvPr id="2" name="Chart 3"/>
        <xdr:cNvGraphicFramePr/>
      </xdr:nvGraphicFramePr>
      <xdr:xfrm>
        <a:off x="177840" y="9906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4"/>
    <col collapsed="false" customWidth="true" hidden="false" outlineLevel="0" max="5" min="5" style="0" width="22"/>
    <col collapsed="false" customWidth="true" hidden="false" outlineLevel="0" max="8" min="6" style="0" width="1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true" outlineLevel="0" collapsed="false">
      <c r="B6" s="4" t="s">
        <v>3</v>
      </c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B8" s="4"/>
      <c r="C8" s="4"/>
      <c r="D8" s="4"/>
      <c r="E8" s="4"/>
      <c r="F8" s="4"/>
      <c r="G8" s="4"/>
      <c r="H8" s="4"/>
    </row>
    <row r="10" customFormat="false" ht="15" hidden="false" customHeight="false" outlineLevel="0" collapsed="false">
      <c r="B10" s="3" t="s">
        <v>4</v>
      </c>
    </row>
    <row r="11" customFormat="false" ht="15" hidden="false" customHeight="false" outlineLevel="0" collapsed="false">
      <c r="B11" s="5" t="s">
        <v>5</v>
      </c>
    </row>
    <row r="12" customFormat="false" ht="15" hidden="false" customHeight="false" outlineLevel="0" collapsed="false">
      <c r="B12" s="5" t="s">
        <v>6</v>
      </c>
    </row>
    <row r="13" customFormat="false" ht="15" hidden="false" customHeight="false" outlineLevel="0" collapsed="false">
      <c r="B13" s="5" t="s">
        <v>7</v>
      </c>
    </row>
    <row r="14" customFormat="false" ht="15" hidden="false" customHeight="false" outlineLevel="0" collapsed="false">
      <c r="B14" s="5" t="s">
        <v>8</v>
      </c>
    </row>
    <row r="15" customFormat="false" ht="15" hidden="false" customHeight="false" outlineLevel="0" collapsed="false">
      <c r="B15" s="5" t="s">
        <v>9</v>
      </c>
    </row>
    <row r="17" customFormat="false" ht="15" hidden="false" customHeight="false" outlineLevel="0" collapsed="false">
      <c r="B17" s="3" t="s">
        <v>10</v>
      </c>
    </row>
    <row r="18" customFormat="false" ht="15" hidden="false" customHeight="false" outlineLevel="0" collapsed="false">
      <c r="B18" s="6" t="s">
        <v>11</v>
      </c>
    </row>
    <row r="19" customFormat="false" ht="15" hidden="false" customHeight="false" outlineLevel="0" collapsed="false">
      <c r="B19" s="7" t="s">
        <v>12</v>
      </c>
    </row>
  </sheetData>
  <mergeCells count="1">
    <mergeCell ref="B6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</row>
    <row r="2" customFormat="false" ht="15" hidden="false" customHeight="false" outlineLevel="0" collapsed="false">
      <c r="A2" s="9" t="s">
        <v>18</v>
      </c>
      <c r="B2" s="9" t="s">
        <v>19</v>
      </c>
      <c r="C2" s="9" t="s">
        <v>20</v>
      </c>
      <c r="D2" s="10" t="n">
        <v>89.9</v>
      </c>
      <c r="E2" s="9" t="n">
        <v>87</v>
      </c>
    </row>
    <row r="3" customFormat="false" ht="15" hidden="false" customHeight="false" outlineLevel="0" collapsed="false">
      <c r="A3" s="9" t="s">
        <v>21</v>
      </c>
      <c r="B3" s="9" t="s">
        <v>22</v>
      </c>
      <c r="C3" s="9" t="s">
        <v>20</v>
      </c>
      <c r="D3" s="10" t="n">
        <v>129.9</v>
      </c>
      <c r="E3" s="9" t="n">
        <v>43</v>
      </c>
    </row>
    <row r="4" customFormat="false" ht="15" hidden="false" customHeight="false" outlineLevel="0" collapsed="false">
      <c r="A4" s="9" t="s">
        <v>23</v>
      </c>
      <c r="B4" s="9" t="s">
        <v>24</v>
      </c>
      <c r="C4" s="9" t="s">
        <v>20</v>
      </c>
      <c r="D4" s="10" t="n">
        <v>59.9</v>
      </c>
      <c r="E4" s="9" t="n">
        <v>106</v>
      </c>
    </row>
    <row r="5" customFormat="false" ht="15" hidden="false" customHeight="false" outlineLevel="0" collapsed="false">
      <c r="A5" s="9" t="s">
        <v>25</v>
      </c>
      <c r="B5" s="9" t="s">
        <v>26</v>
      </c>
      <c r="C5" s="9" t="s">
        <v>20</v>
      </c>
      <c r="D5" s="10" t="n">
        <v>249.9</v>
      </c>
      <c r="E5" s="9" t="n">
        <v>171</v>
      </c>
    </row>
    <row r="6" customFormat="false" ht="15" hidden="false" customHeight="false" outlineLevel="0" collapsed="false">
      <c r="A6" s="9" t="s">
        <v>27</v>
      </c>
      <c r="B6" s="9" t="s">
        <v>28</v>
      </c>
      <c r="C6" s="9" t="s">
        <v>20</v>
      </c>
      <c r="D6" s="10" t="n">
        <v>39.9</v>
      </c>
      <c r="E6" s="9" t="n">
        <v>17</v>
      </c>
    </row>
    <row r="7" customFormat="false" ht="15" hidden="false" customHeight="false" outlineLevel="0" collapsed="false">
      <c r="A7" s="9" t="s">
        <v>29</v>
      </c>
      <c r="B7" s="9" t="s">
        <v>30</v>
      </c>
      <c r="C7" s="9" t="s">
        <v>20</v>
      </c>
      <c r="D7" s="10" t="n">
        <v>99.9</v>
      </c>
      <c r="E7" s="9" t="n">
        <v>23</v>
      </c>
    </row>
    <row r="8" customFormat="false" ht="15" hidden="false" customHeight="false" outlineLevel="0" collapsed="false">
      <c r="A8" s="9" t="s">
        <v>31</v>
      </c>
      <c r="B8" s="9" t="s">
        <v>32</v>
      </c>
      <c r="C8" s="9" t="s">
        <v>20</v>
      </c>
      <c r="D8" s="10" t="n">
        <v>24.9</v>
      </c>
      <c r="E8" s="9" t="n">
        <v>142</v>
      </c>
    </row>
    <row r="9" customFormat="false" ht="15" hidden="false" customHeight="false" outlineLevel="0" collapsed="false">
      <c r="A9" s="9" t="s">
        <v>33</v>
      </c>
      <c r="B9" s="9" t="s">
        <v>34</v>
      </c>
      <c r="C9" s="9" t="s">
        <v>35</v>
      </c>
      <c r="D9" s="10" t="n">
        <v>44.9</v>
      </c>
      <c r="E9" s="9" t="n">
        <v>29</v>
      </c>
    </row>
    <row r="10" customFormat="false" ht="15" hidden="false" customHeight="false" outlineLevel="0" collapsed="false">
      <c r="A10" s="9" t="s">
        <v>36</v>
      </c>
      <c r="B10" s="9" t="s">
        <v>37</v>
      </c>
      <c r="C10" s="9" t="s">
        <v>35</v>
      </c>
      <c r="D10" s="10" t="n">
        <v>289.9</v>
      </c>
      <c r="E10" s="9" t="n">
        <v>98</v>
      </c>
    </row>
    <row r="11" customFormat="false" ht="15" hidden="false" customHeight="false" outlineLevel="0" collapsed="false">
      <c r="A11" s="9" t="s">
        <v>38</v>
      </c>
      <c r="B11" s="9" t="s">
        <v>39</v>
      </c>
      <c r="C11" s="9" t="s">
        <v>35</v>
      </c>
      <c r="D11" s="10" t="n">
        <v>199.9</v>
      </c>
      <c r="E11" s="9" t="n">
        <v>154</v>
      </c>
    </row>
    <row r="12" customFormat="false" ht="15" hidden="false" customHeight="false" outlineLevel="0" collapsed="false">
      <c r="A12" s="9" t="s">
        <v>40</v>
      </c>
      <c r="B12" s="9" t="s">
        <v>41</v>
      </c>
      <c r="C12" s="9" t="s">
        <v>35</v>
      </c>
      <c r="D12" s="10" t="n">
        <v>149.9</v>
      </c>
      <c r="E12" s="9" t="n">
        <v>19</v>
      </c>
    </row>
    <row r="13" customFormat="false" ht="15" hidden="false" customHeight="false" outlineLevel="0" collapsed="false">
      <c r="A13" s="9" t="s">
        <v>42</v>
      </c>
      <c r="B13" s="9" t="s">
        <v>43</v>
      </c>
      <c r="C13" s="9" t="s">
        <v>35</v>
      </c>
      <c r="D13" s="10" t="n">
        <v>29.9</v>
      </c>
      <c r="E13" s="9" t="n">
        <v>134</v>
      </c>
    </row>
    <row r="14" customFormat="false" ht="15" hidden="false" customHeight="false" outlineLevel="0" collapsed="false">
      <c r="A14" s="9" t="s">
        <v>44</v>
      </c>
      <c r="B14" s="9" t="s">
        <v>45</v>
      </c>
      <c r="C14" s="9" t="s">
        <v>35</v>
      </c>
      <c r="D14" s="10" t="n">
        <v>249.9</v>
      </c>
      <c r="E14" s="9" t="n">
        <v>59</v>
      </c>
    </row>
    <row r="15" customFormat="false" ht="15" hidden="false" customHeight="false" outlineLevel="0" collapsed="false">
      <c r="A15" s="9" t="s">
        <v>46</v>
      </c>
      <c r="B15" s="9" t="s">
        <v>47</v>
      </c>
      <c r="C15" s="9" t="s">
        <v>35</v>
      </c>
      <c r="D15" s="10" t="n">
        <v>79.9</v>
      </c>
      <c r="E15" s="9" t="n">
        <v>14</v>
      </c>
    </row>
    <row r="16" customFormat="false" ht="15" hidden="false" customHeight="false" outlineLevel="0" collapsed="false">
      <c r="A16" s="9" t="s">
        <v>48</v>
      </c>
      <c r="B16" s="9" t="s">
        <v>49</v>
      </c>
      <c r="C16" s="9" t="s">
        <v>50</v>
      </c>
      <c r="D16" s="10" t="n">
        <v>22.5</v>
      </c>
      <c r="E16" s="9" t="n">
        <v>27</v>
      </c>
    </row>
    <row r="17" customFormat="false" ht="15" hidden="false" customHeight="false" outlineLevel="0" collapsed="false">
      <c r="A17" s="9" t="s">
        <v>51</v>
      </c>
      <c r="B17" s="9" t="s">
        <v>52</v>
      </c>
      <c r="C17" s="9" t="s">
        <v>50</v>
      </c>
      <c r="D17" s="10" t="n">
        <v>15.9</v>
      </c>
      <c r="E17" s="9" t="n">
        <v>116</v>
      </c>
    </row>
    <row r="18" customFormat="false" ht="15" hidden="false" customHeight="false" outlineLevel="0" collapsed="false">
      <c r="A18" s="9" t="s">
        <v>53</v>
      </c>
      <c r="B18" s="9" t="s">
        <v>54</v>
      </c>
      <c r="C18" s="9" t="s">
        <v>50</v>
      </c>
      <c r="D18" s="10" t="n">
        <v>119.9</v>
      </c>
      <c r="E18" s="9" t="n">
        <v>112</v>
      </c>
    </row>
    <row r="19" customFormat="false" ht="15" hidden="false" customHeight="false" outlineLevel="0" collapsed="false">
      <c r="A19" s="9" t="s">
        <v>55</v>
      </c>
      <c r="B19" s="9" t="s">
        <v>56</v>
      </c>
      <c r="C19" s="9" t="s">
        <v>50</v>
      </c>
      <c r="D19" s="10" t="n">
        <v>24.9</v>
      </c>
      <c r="E19" s="9" t="n">
        <v>22</v>
      </c>
    </row>
    <row r="20" customFormat="false" ht="15" hidden="false" customHeight="false" outlineLevel="0" collapsed="false">
      <c r="A20" s="9" t="s">
        <v>57</v>
      </c>
      <c r="B20" s="9" t="s">
        <v>58</v>
      </c>
      <c r="C20" s="9" t="s">
        <v>50</v>
      </c>
      <c r="D20" s="10" t="n">
        <v>34.9</v>
      </c>
      <c r="E20" s="9" t="n">
        <v>66</v>
      </c>
    </row>
    <row r="21" customFormat="false" ht="15" hidden="false" customHeight="false" outlineLevel="0" collapsed="false">
      <c r="A21" s="9" t="s">
        <v>59</v>
      </c>
      <c r="B21" s="9" t="s">
        <v>60</v>
      </c>
      <c r="C21" s="9" t="s">
        <v>50</v>
      </c>
      <c r="D21" s="10" t="n">
        <v>12.9</v>
      </c>
      <c r="E21" s="9" t="n">
        <v>28</v>
      </c>
    </row>
    <row r="22" customFormat="false" ht="15" hidden="false" customHeight="false" outlineLevel="0" collapsed="false">
      <c r="A22" s="9" t="s">
        <v>61</v>
      </c>
      <c r="B22" s="9" t="s">
        <v>62</v>
      </c>
      <c r="C22" s="9" t="s">
        <v>50</v>
      </c>
      <c r="D22" s="10" t="n">
        <v>69.9</v>
      </c>
      <c r="E22" s="9" t="n">
        <v>146</v>
      </c>
    </row>
    <row r="23" customFormat="false" ht="15" hidden="false" customHeight="false" outlineLevel="0" collapsed="false">
      <c r="A23" s="9" t="s">
        <v>63</v>
      </c>
      <c r="B23" s="9" t="s">
        <v>64</v>
      </c>
      <c r="C23" s="9" t="s">
        <v>65</v>
      </c>
      <c r="D23" s="10" t="n">
        <v>259.9</v>
      </c>
      <c r="E23" s="9" t="n">
        <v>113</v>
      </c>
    </row>
    <row r="24" customFormat="false" ht="15" hidden="false" customHeight="false" outlineLevel="0" collapsed="false">
      <c r="A24" s="9" t="s">
        <v>66</v>
      </c>
      <c r="B24" s="9" t="s">
        <v>67</v>
      </c>
      <c r="C24" s="9" t="s">
        <v>65</v>
      </c>
      <c r="D24" s="10" t="n">
        <v>89.9</v>
      </c>
      <c r="E24" s="9" t="n">
        <v>20</v>
      </c>
    </row>
    <row r="25" customFormat="false" ht="15" hidden="false" customHeight="false" outlineLevel="0" collapsed="false">
      <c r="A25" s="9" t="s">
        <v>68</v>
      </c>
      <c r="B25" s="9" t="s">
        <v>69</v>
      </c>
      <c r="C25" s="9" t="s">
        <v>65</v>
      </c>
      <c r="D25" s="10" t="n">
        <v>69.9</v>
      </c>
      <c r="E25" s="9" t="n">
        <v>149</v>
      </c>
    </row>
    <row r="26" customFormat="false" ht="15" hidden="false" customHeight="false" outlineLevel="0" collapsed="false">
      <c r="A26" s="9" t="s">
        <v>70</v>
      </c>
      <c r="B26" s="9" t="s">
        <v>71</v>
      </c>
      <c r="C26" s="9" t="s">
        <v>65</v>
      </c>
      <c r="D26" s="10" t="n">
        <v>49.9</v>
      </c>
      <c r="E26" s="9" t="n">
        <v>36</v>
      </c>
    </row>
    <row r="27" customFormat="false" ht="15" hidden="false" customHeight="false" outlineLevel="0" collapsed="false">
      <c r="A27" s="9" t="s">
        <v>72</v>
      </c>
      <c r="B27" s="9" t="s">
        <v>73</v>
      </c>
      <c r="C27" s="9" t="s">
        <v>65</v>
      </c>
      <c r="D27" s="10" t="n">
        <v>139.9</v>
      </c>
      <c r="E27" s="9" t="n">
        <v>62</v>
      </c>
    </row>
    <row r="28" customFormat="false" ht="15" hidden="false" customHeight="false" outlineLevel="0" collapsed="false">
      <c r="A28" s="9" t="s">
        <v>74</v>
      </c>
      <c r="B28" s="9" t="s">
        <v>75</v>
      </c>
      <c r="C28" s="9" t="s">
        <v>65</v>
      </c>
      <c r="D28" s="10" t="n">
        <v>79.9</v>
      </c>
      <c r="E28" s="9" t="n">
        <v>166</v>
      </c>
    </row>
    <row r="29" customFormat="false" ht="15" hidden="false" customHeight="false" outlineLevel="0" collapsed="false">
      <c r="A29" s="9" t="s">
        <v>76</v>
      </c>
      <c r="B29" s="9" t="s">
        <v>77</v>
      </c>
      <c r="C29" s="9" t="s">
        <v>65</v>
      </c>
      <c r="D29" s="10" t="n">
        <v>119.9</v>
      </c>
      <c r="E29" s="9" t="n">
        <v>165</v>
      </c>
    </row>
    <row r="30" customFormat="false" ht="15" hidden="false" customHeight="false" outlineLevel="0" collapsed="false">
      <c r="A30" s="9" t="s">
        <v>78</v>
      </c>
      <c r="B30" s="9" t="s">
        <v>79</v>
      </c>
      <c r="C30" s="9" t="s">
        <v>80</v>
      </c>
      <c r="D30" s="10" t="n">
        <v>39.9</v>
      </c>
      <c r="E30" s="9" t="n">
        <v>154</v>
      </c>
    </row>
    <row r="31" customFormat="false" ht="15" hidden="false" customHeight="false" outlineLevel="0" collapsed="false">
      <c r="A31" s="9" t="s">
        <v>81</v>
      </c>
      <c r="B31" s="9" t="s">
        <v>82</v>
      </c>
      <c r="C31" s="9" t="s">
        <v>80</v>
      </c>
      <c r="D31" s="10" t="n">
        <v>159.9</v>
      </c>
      <c r="E31" s="9" t="n">
        <v>20</v>
      </c>
    </row>
    <row r="32" customFormat="false" ht="15" hidden="false" customHeight="false" outlineLevel="0" collapsed="false">
      <c r="A32" s="9" t="s">
        <v>83</v>
      </c>
      <c r="B32" s="9" t="s">
        <v>84</v>
      </c>
      <c r="C32" s="9" t="s">
        <v>80</v>
      </c>
      <c r="D32" s="10" t="n">
        <v>219.9</v>
      </c>
      <c r="E32" s="9" t="n">
        <v>152</v>
      </c>
    </row>
    <row r="33" customFormat="false" ht="15" hidden="false" customHeight="false" outlineLevel="0" collapsed="false">
      <c r="A33" s="9" t="s">
        <v>85</v>
      </c>
      <c r="B33" s="9" t="s">
        <v>86</v>
      </c>
      <c r="C33" s="9" t="s">
        <v>80</v>
      </c>
      <c r="D33" s="10" t="n">
        <v>49.9</v>
      </c>
      <c r="E33" s="9" t="n">
        <v>154</v>
      </c>
    </row>
    <row r="34" customFormat="false" ht="15" hidden="false" customHeight="false" outlineLevel="0" collapsed="false">
      <c r="A34" s="9" t="s">
        <v>87</v>
      </c>
      <c r="B34" s="9" t="s">
        <v>88</v>
      </c>
      <c r="C34" s="9" t="s">
        <v>80</v>
      </c>
      <c r="D34" s="10" t="n">
        <v>29.9</v>
      </c>
      <c r="E34" s="9" t="n">
        <v>106</v>
      </c>
    </row>
    <row r="35" customFormat="false" ht="15" hidden="false" customHeight="false" outlineLevel="0" collapsed="false">
      <c r="A35" s="9" t="s">
        <v>89</v>
      </c>
      <c r="B35" s="9" t="s">
        <v>90</v>
      </c>
      <c r="C35" s="9" t="s">
        <v>80</v>
      </c>
      <c r="D35" s="10" t="n">
        <v>89.9</v>
      </c>
      <c r="E35" s="9" t="n">
        <v>17</v>
      </c>
    </row>
    <row r="36" customFormat="false" ht="15" hidden="false" customHeight="false" outlineLevel="0" collapsed="false">
      <c r="A36" s="9" t="s">
        <v>91</v>
      </c>
      <c r="B36" s="9" t="s">
        <v>92</v>
      </c>
      <c r="C36" s="9" t="s">
        <v>80</v>
      </c>
      <c r="D36" s="10" t="n">
        <v>99.9</v>
      </c>
      <c r="E36" s="9" t="n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26.85" hidden="false" customHeight="false" outlineLevel="0" collapsed="false">
      <c r="A1" s="8" t="s">
        <v>93</v>
      </c>
      <c r="B1" s="8" t="s">
        <v>94</v>
      </c>
      <c r="C1" s="8" t="s">
        <v>13</v>
      </c>
      <c r="D1" s="8" t="s">
        <v>95</v>
      </c>
      <c r="E1" s="8" t="s">
        <v>96</v>
      </c>
      <c r="F1" s="8" t="s">
        <v>97</v>
      </c>
      <c r="G1" s="8" t="s">
        <v>98</v>
      </c>
      <c r="H1" s="8" t="s">
        <v>99</v>
      </c>
    </row>
    <row r="2" customFormat="false" ht="15" hidden="false" customHeight="false" outlineLevel="0" collapsed="false">
      <c r="A2" s="9" t="n">
        <v>1</v>
      </c>
      <c r="B2" s="11" t="n">
        <v>46027</v>
      </c>
      <c r="C2" s="9" t="s">
        <v>25</v>
      </c>
      <c r="D2" s="9" t="n">
        <v>2</v>
      </c>
      <c r="E2" s="9" t="str">
        <f aca="false">VLOOKUP(C2,Produtos!$A$2:$E$36,2,0)</f>
        <v>Smartwatch</v>
      </c>
      <c r="F2" s="9" t="str">
        <f aca="false">INDEX(Produtos!$A$2:$E$36,MATCH(C2,Produtos!$A$2:$A$36,0),3)</f>
        <v>Eletrônicos</v>
      </c>
      <c r="G2" s="10" t="n">
        <f aca="false">VLOOKUP(C2,Produtos!$A$2:$E$36,4,0)</f>
        <v>249.9</v>
      </c>
      <c r="H2" s="10" t="n">
        <f aca="false">D2*G2</f>
        <v>499.8</v>
      </c>
    </row>
    <row r="3" customFormat="false" ht="15" hidden="false" customHeight="false" outlineLevel="0" collapsed="false">
      <c r="A3" s="9" t="n">
        <v>2</v>
      </c>
      <c r="B3" s="11" t="n">
        <v>46033</v>
      </c>
      <c r="C3" s="9" t="s">
        <v>68</v>
      </c>
      <c r="D3" s="9" t="n">
        <v>10</v>
      </c>
      <c r="E3" s="9" t="str">
        <f aca="false">VLOOKUP(C3,Produtos!$A$2:$E$36,2,0)</f>
        <v>Luminária de Mesa</v>
      </c>
      <c r="F3" s="9" t="str">
        <f aca="false">INDEX(Produtos!$A$2:$E$36,MATCH(C3,Produtos!$A$2:$A$36,0),3)</f>
        <v>Casa</v>
      </c>
      <c r="G3" s="10" t="n">
        <f aca="false">VLOOKUP(C3,Produtos!$A$2:$E$36,4,0)</f>
        <v>69.9</v>
      </c>
      <c r="H3" s="10" t="n">
        <f aca="false">D3*G3</f>
        <v>699</v>
      </c>
    </row>
    <row r="4" customFormat="false" ht="15" hidden="false" customHeight="false" outlineLevel="0" collapsed="false">
      <c r="A4" s="9" t="n">
        <v>3</v>
      </c>
      <c r="B4" s="11" t="n">
        <v>46042</v>
      </c>
      <c r="C4" s="9" t="s">
        <v>27</v>
      </c>
      <c r="D4" s="9" t="n">
        <v>10</v>
      </c>
      <c r="E4" s="9" t="str">
        <f aca="false">VLOOKUP(C4,Produtos!$A$2:$E$36,2,0)</f>
        <v>Mouse sem Fio</v>
      </c>
      <c r="F4" s="9" t="str">
        <f aca="false">INDEX(Produtos!$A$2:$E$36,MATCH(C4,Produtos!$A$2:$A$36,0),3)</f>
        <v>Eletrônicos</v>
      </c>
      <c r="G4" s="10" t="n">
        <f aca="false">VLOOKUP(C4,Produtos!$A$2:$E$36,4,0)</f>
        <v>39.9</v>
      </c>
      <c r="H4" s="10" t="n">
        <f aca="false">D4*G4</f>
        <v>399</v>
      </c>
    </row>
    <row r="5" customFormat="false" ht="15" hidden="false" customHeight="false" outlineLevel="0" collapsed="false">
      <c r="A5" s="9" t="n">
        <v>4</v>
      </c>
      <c r="B5" s="11" t="n">
        <v>46042</v>
      </c>
      <c r="C5" s="9" t="s">
        <v>33</v>
      </c>
      <c r="D5" s="9" t="n">
        <v>8</v>
      </c>
      <c r="E5" s="9" t="str">
        <f aca="false">VLOOKUP(C5,Produtos!$A$2:$E$36,2,0)</f>
        <v>Pendrive 64GB</v>
      </c>
      <c r="F5" s="9" t="str">
        <f aca="false">INDEX(Produtos!$A$2:$E$36,MATCH(C5,Produtos!$A$2:$A$36,0),3)</f>
        <v>Informática</v>
      </c>
      <c r="G5" s="10" t="n">
        <f aca="false">VLOOKUP(C5,Produtos!$A$2:$E$36,4,0)</f>
        <v>44.9</v>
      </c>
      <c r="H5" s="10" t="n">
        <f aca="false">D5*G5</f>
        <v>359.2</v>
      </c>
    </row>
    <row r="6" customFormat="false" ht="15" hidden="false" customHeight="false" outlineLevel="0" collapsed="false">
      <c r="A6" s="9" t="n">
        <v>5</v>
      </c>
      <c r="B6" s="11" t="n">
        <v>46046</v>
      </c>
      <c r="C6" s="9" t="s">
        <v>23</v>
      </c>
      <c r="D6" s="9" t="n">
        <v>11</v>
      </c>
      <c r="E6" s="9" t="str">
        <f aca="false">VLOOKUP(C6,Produtos!$A$2:$E$36,2,0)</f>
        <v>Carregador Turbo</v>
      </c>
      <c r="F6" s="9" t="str">
        <f aca="false">INDEX(Produtos!$A$2:$E$36,MATCH(C6,Produtos!$A$2:$A$36,0),3)</f>
        <v>Eletrônicos</v>
      </c>
      <c r="G6" s="10" t="n">
        <f aca="false">VLOOKUP(C6,Produtos!$A$2:$E$36,4,0)</f>
        <v>59.9</v>
      </c>
      <c r="H6" s="10" t="n">
        <f aca="false">D6*G6</f>
        <v>658.9</v>
      </c>
    </row>
    <row r="7" customFormat="false" ht="15" hidden="false" customHeight="false" outlineLevel="0" collapsed="false">
      <c r="A7" s="9" t="n">
        <v>6</v>
      </c>
      <c r="B7" s="11" t="n">
        <v>46048</v>
      </c>
      <c r="C7" s="9" t="s">
        <v>48</v>
      </c>
      <c r="D7" s="9" t="n">
        <v>3</v>
      </c>
      <c r="E7" s="9" t="str">
        <f aca="false">VLOOKUP(C7,Produtos!$A$2:$E$36,2,0)</f>
        <v>Caderno Universitário</v>
      </c>
      <c r="F7" s="9" t="str">
        <f aca="false">INDEX(Produtos!$A$2:$E$36,MATCH(C7,Produtos!$A$2:$A$36,0),3)</f>
        <v>Papelaria</v>
      </c>
      <c r="G7" s="10" t="n">
        <f aca="false">VLOOKUP(C7,Produtos!$A$2:$E$36,4,0)</f>
        <v>22.5</v>
      </c>
      <c r="H7" s="10" t="n">
        <f aca="false">D7*G7</f>
        <v>67.5</v>
      </c>
    </row>
    <row r="8" customFormat="false" ht="15" hidden="false" customHeight="false" outlineLevel="0" collapsed="false">
      <c r="A8" s="9" t="n">
        <v>7</v>
      </c>
      <c r="B8" s="11" t="n">
        <v>46050</v>
      </c>
      <c r="C8" s="9" t="s">
        <v>81</v>
      </c>
      <c r="D8" s="9" t="n">
        <v>2</v>
      </c>
      <c r="E8" s="9" t="str">
        <f aca="false">VLOOKUP(C8,Produtos!$A$2:$E$36,2,0)</f>
        <v>Jaqueta Corta-Vento</v>
      </c>
      <c r="F8" s="9" t="str">
        <f aca="false">INDEX(Produtos!$A$2:$E$36,MATCH(C8,Produtos!$A$2:$A$36,0),3)</f>
        <v>Vestuário</v>
      </c>
      <c r="G8" s="10" t="n">
        <f aca="false">VLOOKUP(C8,Produtos!$A$2:$E$36,4,0)</f>
        <v>159.9</v>
      </c>
      <c r="H8" s="10" t="n">
        <f aca="false">D8*G8</f>
        <v>319.8</v>
      </c>
    </row>
    <row r="9" customFormat="false" ht="15" hidden="false" customHeight="false" outlineLevel="0" collapsed="false">
      <c r="A9" s="9" t="n">
        <v>8</v>
      </c>
      <c r="B9" s="11" t="n">
        <v>46050</v>
      </c>
      <c r="C9" s="9" t="s">
        <v>59</v>
      </c>
      <c r="D9" s="9" t="n">
        <v>11</v>
      </c>
      <c r="E9" s="9" t="str">
        <f aca="false">VLOOKUP(C9,Produtos!$A$2:$E$36,2,0)</f>
        <v>Marcador de Texto</v>
      </c>
      <c r="F9" s="9" t="str">
        <f aca="false">INDEX(Produtos!$A$2:$E$36,MATCH(C9,Produtos!$A$2:$A$36,0),3)</f>
        <v>Papelaria</v>
      </c>
      <c r="G9" s="10" t="n">
        <f aca="false">VLOOKUP(C9,Produtos!$A$2:$E$36,4,0)</f>
        <v>12.9</v>
      </c>
      <c r="H9" s="10" t="n">
        <f aca="false">D9*G9</f>
        <v>141.9</v>
      </c>
    </row>
    <row r="10" customFormat="false" ht="15" hidden="false" customHeight="false" outlineLevel="0" collapsed="false">
      <c r="A10" s="9" t="n">
        <v>9</v>
      </c>
      <c r="B10" s="11" t="n">
        <v>46051</v>
      </c>
      <c r="C10" s="9" t="s">
        <v>44</v>
      </c>
      <c r="D10" s="9" t="n">
        <v>6</v>
      </c>
      <c r="E10" s="9" t="str">
        <f aca="false">VLOOKUP(C10,Produtos!$A$2:$E$36,2,0)</f>
        <v>SSD 480GB</v>
      </c>
      <c r="F10" s="9" t="str">
        <f aca="false">INDEX(Produtos!$A$2:$E$36,MATCH(C10,Produtos!$A$2:$A$36,0),3)</f>
        <v>Informática</v>
      </c>
      <c r="G10" s="10" t="n">
        <f aca="false">VLOOKUP(C10,Produtos!$A$2:$E$36,4,0)</f>
        <v>249.9</v>
      </c>
      <c r="H10" s="10" t="n">
        <f aca="false">D10*G10</f>
        <v>1499.4</v>
      </c>
    </row>
    <row r="11" customFormat="false" ht="15" hidden="false" customHeight="false" outlineLevel="0" collapsed="false">
      <c r="A11" s="9" t="n">
        <v>10</v>
      </c>
      <c r="B11" s="11" t="n">
        <v>46052</v>
      </c>
      <c r="C11" s="9" t="s">
        <v>38</v>
      </c>
      <c r="D11" s="9" t="n">
        <v>9</v>
      </c>
      <c r="E11" s="9" t="str">
        <f aca="false">VLOOKUP(C11,Produtos!$A$2:$E$36,2,0)</f>
        <v>Teclado Mecânico</v>
      </c>
      <c r="F11" s="9" t="str">
        <f aca="false">INDEX(Produtos!$A$2:$E$36,MATCH(C11,Produtos!$A$2:$A$36,0),3)</f>
        <v>Informática</v>
      </c>
      <c r="G11" s="10" t="n">
        <f aca="false">VLOOKUP(C11,Produtos!$A$2:$E$36,4,0)</f>
        <v>199.9</v>
      </c>
      <c r="H11" s="10" t="n">
        <f aca="false">D11*G11</f>
        <v>1799.1</v>
      </c>
    </row>
    <row r="12" customFormat="false" ht="15" hidden="false" customHeight="false" outlineLevel="0" collapsed="false">
      <c r="A12" s="9" t="n">
        <v>11</v>
      </c>
      <c r="B12" s="11" t="n">
        <v>46053</v>
      </c>
      <c r="C12" s="9" t="s">
        <v>29</v>
      </c>
      <c r="D12" s="9" t="n">
        <v>3</v>
      </c>
      <c r="E12" s="9" t="str">
        <f aca="false">VLOOKUP(C12,Produtos!$A$2:$E$36,2,0)</f>
        <v>Power Bank 10000mAh</v>
      </c>
      <c r="F12" s="9" t="str">
        <f aca="false">INDEX(Produtos!$A$2:$E$36,MATCH(C12,Produtos!$A$2:$A$36,0),3)</f>
        <v>Eletrônicos</v>
      </c>
      <c r="G12" s="10" t="n">
        <f aca="false">VLOOKUP(C12,Produtos!$A$2:$E$36,4,0)</f>
        <v>99.9</v>
      </c>
      <c r="H12" s="10" t="n">
        <f aca="false">D12*G12</f>
        <v>299.7</v>
      </c>
    </row>
    <row r="13" customFormat="false" ht="15" hidden="false" customHeight="false" outlineLevel="0" collapsed="false">
      <c r="A13" s="9" t="n">
        <v>12</v>
      </c>
      <c r="B13" s="11" t="n">
        <v>46058</v>
      </c>
      <c r="C13" s="9" t="s">
        <v>68</v>
      </c>
      <c r="D13" s="9" t="n">
        <v>8</v>
      </c>
      <c r="E13" s="9" t="str">
        <f aca="false">VLOOKUP(C13,Produtos!$A$2:$E$36,2,0)</f>
        <v>Luminária de Mesa</v>
      </c>
      <c r="F13" s="9" t="str">
        <f aca="false">INDEX(Produtos!$A$2:$E$36,MATCH(C13,Produtos!$A$2:$A$36,0),3)</f>
        <v>Casa</v>
      </c>
      <c r="G13" s="10" t="n">
        <f aca="false">VLOOKUP(C13,Produtos!$A$2:$E$36,4,0)</f>
        <v>69.9</v>
      </c>
      <c r="H13" s="10" t="n">
        <f aca="false">D13*G13</f>
        <v>559.2</v>
      </c>
    </row>
    <row r="14" customFormat="false" ht="15" hidden="false" customHeight="false" outlineLevel="0" collapsed="false">
      <c r="A14" s="9" t="n">
        <v>13</v>
      </c>
      <c r="B14" s="11" t="n">
        <v>46060</v>
      </c>
      <c r="C14" s="9" t="s">
        <v>46</v>
      </c>
      <c r="D14" s="9" t="n">
        <v>5</v>
      </c>
      <c r="E14" s="9" t="str">
        <f aca="false">VLOOKUP(C14,Produtos!$A$2:$E$36,2,0)</f>
        <v>Hub USB-C</v>
      </c>
      <c r="F14" s="9" t="str">
        <f aca="false">INDEX(Produtos!$A$2:$E$36,MATCH(C14,Produtos!$A$2:$A$36,0),3)</f>
        <v>Informática</v>
      </c>
      <c r="G14" s="10" t="n">
        <f aca="false">VLOOKUP(C14,Produtos!$A$2:$E$36,4,0)</f>
        <v>79.9</v>
      </c>
      <c r="H14" s="10" t="n">
        <f aca="false">D14*G14</f>
        <v>399.5</v>
      </c>
    </row>
    <row r="15" customFormat="false" ht="15" hidden="false" customHeight="false" outlineLevel="0" collapsed="false">
      <c r="A15" s="9" t="n">
        <v>14</v>
      </c>
      <c r="B15" s="11" t="n">
        <v>46061</v>
      </c>
      <c r="C15" s="9" t="s">
        <v>23</v>
      </c>
      <c r="D15" s="9" t="n">
        <v>9</v>
      </c>
      <c r="E15" s="9" t="str">
        <f aca="false">VLOOKUP(C15,Produtos!$A$2:$E$36,2,0)</f>
        <v>Carregador Turbo</v>
      </c>
      <c r="F15" s="9" t="str">
        <f aca="false">INDEX(Produtos!$A$2:$E$36,MATCH(C15,Produtos!$A$2:$A$36,0),3)</f>
        <v>Eletrônicos</v>
      </c>
      <c r="G15" s="10" t="n">
        <f aca="false">VLOOKUP(C15,Produtos!$A$2:$E$36,4,0)</f>
        <v>59.9</v>
      </c>
      <c r="H15" s="10" t="n">
        <f aca="false">D15*G15</f>
        <v>539.1</v>
      </c>
    </row>
    <row r="16" customFormat="false" ht="15" hidden="false" customHeight="false" outlineLevel="0" collapsed="false">
      <c r="A16" s="9" t="n">
        <v>15</v>
      </c>
      <c r="B16" s="11" t="n">
        <v>46063</v>
      </c>
      <c r="C16" s="9" t="s">
        <v>57</v>
      </c>
      <c r="D16" s="9" t="n">
        <v>7</v>
      </c>
      <c r="E16" s="9" t="str">
        <f aca="false">VLOOKUP(C16,Produtos!$A$2:$E$36,2,0)</f>
        <v>Agenda Anual</v>
      </c>
      <c r="F16" s="9" t="str">
        <f aca="false">INDEX(Produtos!$A$2:$E$36,MATCH(C16,Produtos!$A$2:$A$36,0),3)</f>
        <v>Papelaria</v>
      </c>
      <c r="G16" s="10" t="n">
        <f aca="false">VLOOKUP(C16,Produtos!$A$2:$E$36,4,0)</f>
        <v>34.9</v>
      </c>
      <c r="H16" s="10" t="n">
        <f aca="false">D16*G16</f>
        <v>244.3</v>
      </c>
    </row>
    <row r="17" customFormat="false" ht="15" hidden="false" customHeight="false" outlineLevel="0" collapsed="false">
      <c r="A17" s="9" t="n">
        <v>16</v>
      </c>
      <c r="B17" s="11" t="n">
        <v>46064</v>
      </c>
      <c r="C17" s="9" t="s">
        <v>89</v>
      </c>
      <c r="D17" s="9" t="n">
        <v>6</v>
      </c>
      <c r="E17" s="9" t="str">
        <f aca="false">VLOOKUP(C17,Produtos!$A$2:$E$36,2,0)</f>
        <v>Bermuda Moletom</v>
      </c>
      <c r="F17" s="9" t="str">
        <f aca="false">INDEX(Produtos!$A$2:$E$36,MATCH(C17,Produtos!$A$2:$A$36,0),3)</f>
        <v>Vestuário</v>
      </c>
      <c r="G17" s="10" t="n">
        <f aca="false">VLOOKUP(C17,Produtos!$A$2:$E$36,4,0)</f>
        <v>89.9</v>
      </c>
      <c r="H17" s="10" t="n">
        <f aca="false">D17*G17</f>
        <v>539.4</v>
      </c>
    </row>
    <row r="18" customFormat="false" ht="15" hidden="false" customHeight="false" outlineLevel="0" collapsed="false">
      <c r="A18" s="9" t="n">
        <v>17</v>
      </c>
      <c r="B18" s="11" t="n">
        <v>46068</v>
      </c>
      <c r="C18" s="9" t="s">
        <v>83</v>
      </c>
      <c r="D18" s="9" t="n">
        <v>12</v>
      </c>
      <c r="E18" s="9" t="str">
        <f aca="false">VLOOKUP(C18,Produtos!$A$2:$E$36,2,0)</f>
        <v>Tênis Esportivo</v>
      </c>
      <c r="F18" s="9" t="str">
        <f aca="false">INDEX(Produtos!$A$2:$E$36,MATCH(C18,Produtos!$A$2:$A$36,0),3)</f>
        <v>Vestuário</v>
      </c>
      <c r="G18" s="10" t="n">
        <f aca="false">VLOOKUP(C18,Produtos!$A$2:$E$36,4,0)</f>
        <v>219.9</v>
      </c>
      <c r="H18" s="10" t="n">
        <f aca="false">D18*G18</f>
        <v>2638.8</v>
      </c>
    </row>
    <row r="19" customFormat="false" ht="15" hidden="false" customHeight="false" outlineLevel="0" collapsed="false">
      <c r="A19" s="9" t="n">
        <v>18</v>
      </c>
      <c r="B19" s="11" t="n">
        <v>46069</v>
      </c>
      <c r="C19" s="9" t="s">
        <v>85</v>
      </c>
      <c r="D19" s="9" t="n">
        <v>2</v>
      </c>
      <c r="E19" s="9" t="str">
        <f aca="false">VLOOKUP(C19,Produtos!$A$2:$E$36,2,0)</f>
        <v>Boné Ajustável</v>
      </c>
      <c r="F19" s="9" t="str">
        <f aca="false">INDEX(Produtos!$A$2:$E$36,MATCH(C19,Produtos!$A$2:$A$36,0),3)</f>
        <v>Vestuário</v>
      </c>
      <c r="G19" s="10" t="n">
        <f aca="false">VLOOKUP(C19,Produtos!$A$2:$E$36,4,0)</f>
        <v>49.9</v>
      </c>
      <c r="H19" s="10" t="n">
        <f aca="false">D19*G19</f>
        <v>99.8</v>
      </c>
    </row>
    <row r="20" customFormat="false" ht="15" hidden="false" customHeight="false" outlineLevel="0" collapsed="false">
      <c r="A20" s="9" t="n">
        <v>19</v>
      </c>
      <c r="B20" s="11" t="n">
        <v>46075</v>
      </c>
      <c r="C20" s="9" t="s">
        <v>72</v>
      </c>
      <c r="D20" s="9" t="n">
        <v>1</v>
      </c>
      <c r="E20" s="9" t="str">
        <f aca="false">VLOOKUP(C20,Produtos!$A$2:$E$36,2,0)</f>
        <v>Jogo de Cama Casal</v>
      </c>
      <c r="F20" s="9" t="str">
        <f aca="false">INDEX(Produtos!$A$2:$E$36,MATCH(C20,Produtos!$A$2:$A$36,0),3)</f>
        <v>Casa</v>
      </c>
      <c r="G20" s="10" t="n">
        <f aca="false">VLOOKUP(C20,Produtos!$A$2:$E$36,4,0)</f>
        <v>139.9</v>
      </c>
      <c r="H20" s="10" t="n">
        <f aca="false">D20*G20</f>
        <v>139.9</v>
      </c>
    </row>
    <row r="21" customFormat="false" ht="15" hidden="false" customHeight="false" outlineLevel="0" collapsed="false">
      <c r="A21" s="9" t="n">
        <v>20</v>
      </c>
      <c r="B21" s="11" t="n">
        <v>46079</v>
      </c>
      <c r="C21" s="9" t="s">
        <v>89</v>
      </c>
      <c r="D21" s="9" t="n">
        <v>1</v>
      </c>
      <c r="E21" s="9" t="str">
        <f aca="false">VLOOKUP(C21,Produtos!$A$2:$E$36,2,0)</f>
        <v>Bermuda Moletom</v>
      </c>
      <c r="F21" s="9" t="str">
        <f aca="false">INDEX(Produtos!$A$2:$E$36,MATCH(C21,Produtos!$A$2:$A$36,0),3)</f>
        <v>Vestuário</v>
      </c>
      <c r="G21" s="10" t="n">
        <f aca="false">VLOOKUP(C21,Produtos!$A$2:$E$36,4,0)</f>
        <v>89.9</v>
      </c>
      <c r="H21" s="10" t="n">
        <f aca="false">D21*G21</f>
        <v>89.9</v>
      </c>
    </row>
    <row r="22" customFormat="false" ht="15" hidden="false" customHeight="false" outlineLevel="0" collapsed="false">
      <c r="A22" s="9" t="n">
        <v>21</v>
      </c>
      <c r="B22" s="11" t="n">
        <v>46084</v>
      </c>
      <c r="C22" s="9" t="s">
        <v>40</v>
      </c>
      <c r="D22" s="9" t="n">
        <v>6</v>
      </c>
      <c r="E22" s="9" t="str">
        <f aca="false">VLOOKUP(C22,Produtos!$A$2:$E$36,2,0)</f>
        <v>Webcam Full HD</v>
      </c>
      <c r="F22" s="9" t="str">
        <f aca="false">INDEX(Produtos!$A$2:$E$36,MATCH(C22,Produtos!$A$2:$A$36,0),3)</f>
        <v>Informática</v>
      </c>
      <c r="G22" s="10" t="n">
        <f aca="false">VLOOKUP(C22,Produtos!$A$2:$E$36,4,0)</f>
        <v>149.9</v>
      </c>
      <c r="H22" s="10" t="n">
        <f aca="false">D22*G22</f>
        <v>899.4</v>
      </c>
    </row>
    <row r="23" customFormat="false" ht="15" hidden="false" customHeight="false" outlineLevel="0" collapsed="false">
      <c r="A23" s="9" t="n">
        <v>22</v>
      </c>
      <c r="B23" s="11" t="n">
        <v>46084</v>
      </c>
      <c r="C23" s="9" t="s">
        <v>63</v>
      </c>
      <c r="D23" s="9" t="n">
        <v>11</v>
      </c>
      <c r="E23" s="9" t="str">
        <f aca="false">VLOOKUP(C23,Produtos!$A$2:$E$36,2,0)</f>
        <v>Jogo de Panelas</v>
      </c>
      <c r="F23" s="9" t="str">
        <f aca="false">INDEX(Produtos!$A$2:$E$36,MATCH(C23,Produtos!$A$2:$A$36,0),3)</f>
        <v>Casa</v>
      </c>
      <c r="G23" s="10" t="n">
        <f aca="false">VLOOKUP(C23,Produtos!$A$2:$E$36,4,0)</f>
        <v>259.9</v>
      </c>
      <c r="H23" s="10" t="n">
        <f aca="false">D23*G23</f>
        <v>2858.9</v>
      </c>
    </row>
    <row r="24" customFormat="false" ht="15" hidden="false" customHeight="false" outlineLevel="0" collapsed="false">
      <c r="A24" s="9" t="n">
        <v>23</v>
      </c>
      <c r="B24" s="11" t="n">
        <v>46086</v>
      </c>
      <c r="C24" s="9" t="s">
        <v>42</v>
      </c>
      <c r="D24" s="9" t="n">
        <v>3</v>
      </c>
      <c r="E24" s="9" t="str">
        <f aca="false">VLOOKUP(C24,Produtos!$A$2:$E$36,2,0)</f>
        <v>Cabo HDMI 2m</v>
      </c>
      <c r="F24" s="9" t="str">
        <f aca="false">INDEX(Produtos!$A$2:$E$36,MATCH(C24,Produtos!$A$2:$A$36,0),3)</f>
        <v>Informática</v>
      </c>
      <c r="G24" s="10" t="n">
        <f aca="false">VLOOKUP(C24,Produtos!$A$2:$E$36,4,0)</f>
        <v>29.9</v>
      </c>
      <c r="H24" s="10" t="n">
        <f aca="false">D24*G24</f>
        <v>89.7</v>
      </c>
    </row>
    <row r="25" customFormat="false" ht="15" hidden="false" customHeight="false" outlineLevel="0" collapsed="false">
      <c r="A25" s="9" t="n">
        <v>24</v>
      </c>
      <c r="B25" s="11" t="n">
        <v>46089</v>
      </c>
      <c r="C25" s="9" t="s">
        <v>42</v>
      </c>
      <c r="D25" s="9" t="n">
        <v>12</v>
      </c>
      <c r="E25" s="9" t="str">
        <f aca="false">VLOOKUP(C25,Produtos!$A$2:$E$36,2,0)</f>
        <v>Cabo HDMI 2m</v>
      </c>
      <c r="F25" s="9" t="str">
        <f aca="false">INDEX(Produtos!$A$2:$E$36,MATCH(C25,Produtos!$A$2:$A$36,0),3)</f>
        <v>Informática</v>
      </c>
      <c r="G25" s="10" t="n">
        <f aca="false">VLOOKUP(C25,Produtos!$A$2:$E$36,4,0)</f>
        <v>29.9</v>
      </c>
      <c r="H25" s="10" t="n">
        <f aca="false">D25*G25</f>
        <v>358.8</v>
      </c>
    </row>
    <row r="26" customFormat="false" ht="15" hidden="false" customHeight="false" outlineLevel="0" collapsed="false">
      <c r="A26" s="9" t="n">
        <v>25</v>
      </c>
      <c r="B26" s="11" t="n">
        <v>46090</v>
      </c>
      <c r="C26" s="9" t="s">
        <v>68</v>
      </c>
      <c r="D26" s="9" t="n">
        <v>5</v>
      </c>
      <c r="E26" s="9" t="str">
        <f aca="false">VLOOKUP(C26,Produtos!$A$2:$E$36,2,0)</f>
        <v>Luminária de Mesa</v>
      </c>
      <c r="F26" s="9" t="str">
        <f aca="false">INDEX(Produtos!$A$2:$E$36,MATCH(C26,Produtos!$A$2:$A$36,0),3)</f>
        <v>Casa</v>
      </c>
      <c r="G26" s="10" t="n">
        <f aca="false">VLOOKUP(C26,Produtos!$A$2:$E$36,4,0)</f>
        <v>69.9</v>
      </c>
      <c r="H26" s="10" t="n">
        <f aca="false">D26*G26</f>
        <v>349.5</v>
      </c>
    </row>
    <row r="27" customFormat="false" ht="15" hidden="false" customHeight="false" outlineLevel="0" collapsed="false">
      <c r="A27" s="9" t="n">
        <v>26</v>
      </c>
      <c r="B27" s="11" t="n">
        <v>46094</v>
      </c>
      <c r="C27" s="9" t="s">
        <v>63</v>
      </c>
      <c r="D27" s="9" t="n">
        <v>12</v>
      </c>
      <c r="E27" s="9" t="str">
        <f aca="false">VLOOKUP(C27,Produtos!$A$2:$E$36,2,0)</f>
        <v>Jogo de Panelas</v>
      </c>
      <c r="F27" s="9" t="str">
        <f aca="false">INDEX(Produtos!$A$2:$E$36,MATCH(C27,Produtos!$A$2:$A$36,0),3)</f>
        <v>Casa</v>
      </c>
      <c r="G27" s="10" t="n">
        <f aca="false">VLOOKUP(C27,Produtos!$A$2:$E$36,4,0)</f>
        <v>259.9</v>
      </c>
      <c r="H27" s="10" t="n">
        <f aca="false">D27*G27</f>
        <v>3118.8</v>
      </c>
    </row>
    <row r="28" customFormat="false" ht="15" hidden="false" customHeight="false" outlineLevel="0" collapsed="false">
      <c r="A28" s="9" t="n">
        <v>27</v>
      </c>
      <c r="B28" s="11" t="n">
        <v>46099</v>
      </c>
      <c r="C28" s="9" t="s">
        <v>42</v>
      </c>
      <c r="D28" s="9" t="n">
        <v>5</v>
      </c>
      <c r="E28" s="9" t="str">
        <f aca="false">VLOOKUP(C28,Produtos!$A$2:$E$36,2,0)</f>
        <v>Cabo HDMI 2m</v>
      </c>
      <c r="F28" s="9" t="str">
        <f aca="false">INDEX(Produtos!$A$2:$E$36,MATCH(C28,Produtos!$A$2:$A$36,0),3)</f>
        <v>Informática</v>
      </c>
      <c r="G28" s="10" t="n">
        <f aca="false">VLOOKUP(C28,Produtos!$A$2:$E$36,4,0)</f>
        <v>29.9</v>
      </c>
      <c r="H28" s="10" t="n">
        <f aca="false">D28*G28</f>
        <v>149.5</v>
      </c>
    </row>
    <row r="29" customFormat="false" ht="15" hidden="false" customHeight="false" outlineLevel="0" collapsed="false">
      <c r="A29" s="9" t="n">
        <v>28</v>
      </c>
      <c r="B29" s="11" t="n">
        <v>46103</v>
      </c>
      <c r="C29" s="9" t="s">
        <v>29</v>
      </c>
      <c r="D29" s="9" t="n">
        <v>10</v>
      </c>
      <c r="E29" s="9" t="str">
        <f aca="false">VLOOKUP(C29,Produtos!$A$2:$E$36,2,0)</f>
        <v>Power Bank 10000mAh</v>
      </c>
      <c r="F29" s="9" t="str">
        <f aca="false">INDEX(Produtos!$A$2:$E$36,MATCH(C29,Produtos!$A$2:$A$36,0),3)</f>
        <v>Eletrônicos</v>
      </c>
      <c r="G29" s="10" t="n">
        <f aca="false">VLOOKUP(C29,Produtos!$A$2:$E$36,4,0)</f>
        <v>99.9</v>
      </c>
      <c r="H29" s="10" t="n">
        <f aca="false">D29*G29</f>
        <v>999</v>
      </c>
    </row>
    <row r="30" customFormat="false" ht="15" hidden="false" customHeight="false" outlineLevel="0" collapsed="false">
      <c r="A30" s="9" t="n">
        <v>29</v>
      </c>
      <c r="B30" s="11" t="n">
        <v>46106</v>
      </c>
      <c r="C30" s="9" t="s">
        <v>83</v>
      </c>
      <c r="D30" s="9" t="n">
        <v>8</v>
      </c>
      <c r="E30" s="9" t="str">
        <f aca="false">VLOOKUP(C30,Produtos!$A$2:$E$36,2,0)</f>
        <v>Tênis Esportivo</v>
      </c>
      <c r="F30" s="9" t="str">
        <f aca="false">INDEX(Produtos!$A$2:$E$36,MATCH(C30,Produtos!$A$2:$A$36,0),3)</f>
        <v>Vestuário</v>
      </c>
      <c r="G30" s="10" t="n">
        <f aca="false">VLOOKUP(C30,Produtos!$A$2:$E$36,4,0)</f>
        <v>219.9</v>
      </c>
      <c r="H30" s="10" t="n">
        <f aca="false">D30*G30</f>
        <v>1759.2</v>
      </c>
    </row>
    <row r="31" customFormat="false" ht="15" hidden="false" customHeight="false" outlineLevel="0" collapsed="false">
      <c r="A31" s="9" t="n">
        <v>30</v>
      </c>
      <c r="B31" s="11" t="n">
        <v>46107</v>
      </c>
      <c r="C31" s="9" t="s">
        <v>91</v>
      </c>
      <c r="D31" s="9" t="n">
        <v>7</v>
      </c>
      <c r="E31" s="9" t="str">
        <f aca="false">VLOOKUP(C31,Produtos!$A$2:$E$36,2,0)</f>
        <v>Óculos de Sol</v>
      </c>
      <c r="F31" s="9" t="str">
        <f aca="false">INDEX(Produtos!$A$2:$E$36,MATCH(C31,Produtos!$A$2:$A$36,0),3)</f>
        <v>Vestuário</v>
      </c>
      <c r="G31" s="10" t="n">
        <f aca="false">VLOOKUP(C31,Produtos!$A$2:$E$36,4,0)</f>
        <v>99.9</v>
      </c>
      <c r="H31" s="10" t="n">
        <f aca="false">D31*G31</f>
        <v>699.3</v>
      </c>
    </row>
    <row r="32" customFormat="false" ht="15" hidden="false" customHeight="false" outlineLevel="0" collapsed="false">
      <c r="A32" s="9" t="n">
        <v>31</v>
      </c>
      <c r="B32" s="11" t="n">
        <v>46114</v>
      </c>
      <c r="C32" s="9" t="s">
        <v>89</v>
      </c>
      <c r="D32" s="9" t="n">
        <v>8</v>
      </c>
      <c r="E32" s="9" t="str">
        <f aca="false">VLOOKUP(C32,Produtos!$A$2:$E$36,2,0)</f>
        <v>Bermuda Moletom</v>
      </c>
      <c r="F32" s="9" t="str">
        <f aca="false">INDEX(Produtos!$A$2:$E$36,MATCH(C32,Produtos!$A$2:$A$36,0),3)</f>
        <v>Vestuário</v>
      </c>
      <c r="G32" s="10" t="n">
        <f aca="false">VLOOKUP(C32,Produtos!$A$2:$E$36,4,0)</f>
        <v>89.9</v>
      </c>
      <c r="H32" s="10" t="n">
        <f aca="false">D32*G32</f>
        <v>719.2</v>
      </c>
    </row>
    <row r="33" customFormat="false" ht="15" hidden="false" customHeight="false" outlineLevel="0" collapsed="false">
      <c r="A33" s="9" t="n">
        <v>32</v>
      </c>
      <c r="B33" s="11" t="n">
        <v>46114</v>
      </c>
      <c r="C33" s="9" t="s">
        <v>74</v>
      </c>
      <c r="D33" s="9" t="n">
        <v>3</v>
      </c>
      <c r="E33" s="9" t="str">
        <f aca="false">VLOOKUP(C33,Produtos!$A$2:$E$36,2,0)</f>
        <v>Difusor de Aromas</v>
      </c>
      <c r="F33" s="9" t="str">
        <f aca="false">INDEX(Produtos!$A$2:$E$36,MATCH(C33,Produtos!$A$2:$A$36,0),3)</f>
        <v>Casa</v>
      </c>
      <c r="G33" s="10" t="n">
        <f aca="false">VLOOKUP(C33,Produtos!$A$2:$E$36,4,0)</f>
        <v>79.9</v>
      </c>
      <c r="H33" s="10" t="n">
        <f aca="false">D33*G33</f>
        <v>239.7</v>
      </c>
    </row>
    <row r="34" customFormat="false" ht="15" hidden="false" customHeight="false" outlineLevel="0" collapsed="false">
      <c r="A34" s="9" t="n">
        <v>33</v>
      </c>
      <c r="B34" s="11" t="n">
        <v>46114</v>
      </c>
      <c r="C34" s="9" t="s">
        <v>40</v>
      </c>
      <c r="D34" s="9" t="n">
        <v>2</v>
      </c>
      <c r="E34" s="9" t="str">
        <f aca="false">VLOOKUP(C34,Produtos!$A$2:$E$36,2,0)</f>
        <v>Webcam Full HD</v>
      </c>
      <c r="F34" s="9" t="str">
        <f aca="false">INDEX(Produtos!$A$2:$E$36,MATCH(C34,Produtos!$A$2:$A$36,0),3)</f>
        <v>Informática</v>
      </c>
      <c r="G34" s="10" t="n">
        <f aca="false">VLOOKUP(C34,Produtos!$A$2:$E$36,4,0)</f>
        <v>149.9</v>
      </c>
      <c r="H34" s="10" t="n">
        <f aca="false">D34*G34</f>
        <v>299.8</v>
      </c>
    </row>
    <row r="35" customFormat="false" ht="15" hidden="false" customHeight="false" outlineLevel="0" collapsed="false">
      <c r="A35" s="9" t="n">
        <v>34</v>
      </c>
      <c r="B35" s="11" t="n">
        <v>46120</v>
      </c>
      <c r="C35" s="9" t="s">
        <v>53</v>
      </c>
      <c r="D35" s="9" t="n">
        <v>9</v>
      </c>
      <c r="E35" s="9" t="str">
        <f aca="false">VLOOKUP(C35,Produtos!$A$2:$E$36,2,0)</f>
        <v>Mochila Escolar</v>
      </c>
      <c r="F35" s="9" t="str">
        <f aca="false">INDEX(Produtos!$A$2:$E$36,MATCH(C35,Produtos!$A$2:$A$36,0),3)</f>
        <v>Papelaria</v>
      </c>
      <c r="G35" s="10" t="n">
        <f aca="false">VLOOKUP(C35,Produtos!$A$2:$E$36,4,0)</f>
        <v>119.9</v>
      </c>
      <c r="H35" s="10" t="n">
        <f aca="false">D35*G35</f>
        <v>1079.1</v>
      </c>
    </row>
    <row r="36" customFormat="false" ht="15" hidden="false" customHeight="false" outlineLevel="0" collapsed="false">
      <c r="A36" s="9" t="n">
        <v>35</v>
      </c>
      <c r="B36" s="11" t="n">
        <v>46124</v>
      </c>
      <c r="C36" s="9" t="s">
        <v>66</v>
      </c>
      <c r="D36" s="9" t="n">
        <v>11</v>
      </c>
      <c r="E36" s="9" t="str">
        <f aca="false">VLOOKUP(C36,Produtos!$A$2:$E$36,2,0)</f>
        <v>Kit de Toalhas</v>
      </c>
      <c r="F36" s="9" t="str">
        <f aca="false">INDEX(Produtos!$A$2:$E$36,MATCH(C36,Produtos!$A$2:$A$36,0),3)</f>
        <v>Casa</v>
      </c>
      <c r="G36" s="10" t="n">
        <f aca="false">VLOOKUP(C36,Produtos!$A$2:$E$36,4,0)</f>
        <v>89.9</v>
      </c>
      <c r="H36" s="10" t="n">
        <f aca="false">D36*G36</f>
        <v>988.9</v>
      </c>
    </row>
    <row r="37" customFormat="false" ht="15" hidden="false" customHeight="false" outlineLevel="0" collapsed="false">
      <c r="A37" s="9" t="n">
        <v>36</v>
      </c>
      <c r="B37" s="11" t="n">
        <v>46125</v>
      </c>
      <c r="C37" s="9" t="s">
        <v>78</v>
      </c>
      <c r="D37" s="9" t="n">
        <v>5</v>
      </c>
      <c r="E37" s="9" t="str">
        <f aca="false">VLOOKUP(C37,Produtos!$A$2:$E$36,2,0)</f>
        <v>Camiseta Básica</v>
      </c>
      <c r="F37" s="9" t="str">
        <f aca="false">INDEX(Produtos!$A$2:$E$36,MATCH(C37,Produtos!$A$2:$A$36,0),3)</f>
        <v>Vestuário</v>
      </c>
      <c r="G37" s="10" t="n">
        <f aca="false">VLOOKUP(C37,Produtos!$A$2:$E$36,4,0)</f>
        <v>39.9</v>
      </c>
      <c r="H37" s="10" t="n">
        <f aca="false">D37*G37</f>
        <v>199.5</v>
      </c>
    </row>
    <row r="38" customFormat="false" ht="15" hidden="false" customHeight="false" outlineLevel="0" collapsed="false">
      <c r="A38" s="9" t="n">
        <v>37</v>
      </c>
      <c r="B38" s="11" t="n">
        <v>46127</v>
      </c>
      <c r="C38" s="9" t="s">
        <v>51</v>
      </c>
      <c r="D38" s="9" t="n">
        <v>7</v>
      </c>
      <c r="E38" s="9" t="str">
        <f aca="false">VLOOKUP(C38,Produtos!$A$2:$E$36,2,0)</f>
        <v>Kit de Canetas</v>
      </c>
      <c r="F38" s="9" t="str">
        <f aca="false">INDEX(Produtos!$A$2:$E$36,MATCH(C38,Produtos!$A$2:$A$36,0),3)</f>
        <v>Papelaria</v>
      </c>
      <c r="G38" s="10" t="n">
        <f aca="false">VLOOKUP(C38,Produtos!$A$2:$E$36,4,0)</f>
        <v>15.9</v>
      </c>
      <c r="H38" s="10" t="n">
        <f aca="false">D38*G38</f>
        <v>111.3</v>
      </c>
    </row>
    <row r="39" customFormat="false" ht="15" hidden="false" customHeight="false" outlineLevel="0" collapsed="false">
      <c r="A39" s="9" t="n">
        <v>38</v>
      </c>
      <c r="B39" s="11" t="n">
        <v>46129</v>
      </c>
      <c r="C39" s="9" t="s">
        <v>72</v>
      </c>
      <c r="D39" s="9" t="n">
        <v>7</v>
      </c>
      <c r="E39" s="9" t="str">
        <f aca="false">VLOOKUP(C39,Produtos!$A$2:$E$36,2,0)</f>
        <v>Jogo de Cama Casal</v>
      </c>
      <c r="F39" s="9" t="str">
        <f aca="false">INDEX(Produtos!$A$2:$E$36,MATCH(C39,Produtos!$A$2:$A$36,0),3)</f>
        <v>Casa</v>
      </c>
      <c r="G39" s="10" t="n">
        <f aca="false">VLOOKUP(C39,Produtos!$A$2:$E$36,4,0)</f>
        <v>139.9</v>
      </c>
      <c r="H39" s="10" t="n">
        <f aca="false">D39*G39</f>
        <v>979.3</v>
      </c>
    </row>
    <row r="40" customFormat="false" ht="15" hidden="false" customHeight="false" outlineLevel="0" collapsed="false">
      <c r="A40" s="9" t="n">
        <v>39</v>
      </c>
      <c r="B40" s="11" t="n">
        <v>46133</v>
      </c>
      <c r="C40" s="9" t="s">
        <v>55</v>
      </c>
      <c r="D40" s="9" t="n">
        <v>12</v>
      </c>
      <c r="E40" s="9" t="str">
        <f aca="false">VLOOKUP(C40,Produtos!$A$2:$E$36,2,0)</f>
        <v>Estojo Duplo</v>
      </c>
      <c r="F40" s="9" t="str">
        <f aca="false">INDEX(Produtos!$A$2:$E$36,MATCH(C40,Produtos!$A$2:$A$36,0),3)</f>
        <v>Papelaria</v>
      </c>
      <c r="G40" s="10" t="n">
        <f aca="false">VLOOKUP(C40,Produtos!$A$2:$E$36,4,0)</f>
        <v>24.9</v>
      </c>
      <c r="H40" s="10" t="n">
        <f aca="false">D40*G40</f>
        <v>298.8</v>
      </c>
    </row>
    <row r="41" customFormat="false" ht="15" hidden="false" customHeight="false" outlineLevel="0" collapsed="false">
      <c r="A41" s="9" t="n">
        <v>40</v>
      </c>
      <c r="B41" s="11" t="n">
        <v>46134</v>
      </c>
      <c r="C41" s="9" t="s">
        <v>38</v>
      </c>
      <c r="D41" s="9" t="n">
        <v>8</v>
      </c>
      <c r="E41" s="9" t="str">
        <f aca="false">VLOOKUP(C41,Produtos!$A$2:$E$36,2,0)</f>
        <v>Teclado Mecânico</v>
      </c>
      <c r="F41" s="9" t="str">
        <f aca="false">INDEX(Produtos!$A$2:$E$36,MATCH(C41,Produtos!$A$2:$A$36,0),3)</f>
        <v>Informática</v>
      </c>
      <c r="G41" s="10" t="n">
        <f aca="false">VLOOKUP(C41,Produtos!$A$2:$E$36,4,0)</f>
        <v>199.9</v>
      </c>
      <c r="H41" s="10" t="n">
        <f aca="false">D41*G41</f>
        <v>1599.2</v>
      </c>
    </row>
    <row r="42" customFormat="false" ht="15" hidden="false" customHeight="false" outlineLevel="0" collapsed="false">
      <c r="A42" s="9" t="n">
        <v>41</v>
      </c>
      <c r="B42" s="11" t="n">
        <v>46134</v>
      </c>
      <c r="C42" s="9" t="s">
        <v>18</v>
      </c>
      <c r="D42" s="9" t="n">
        <v>3</v>
      </c>
      <c r="E42" s="9" t="str">
        <f aca="false">VLOOKUP(C42,Produtos!$A$2:$E$36,2,0)</f>
        <v>Fone de Ouvido Bluetooth</v>
      </c>
      <c r="F42" s="9" t="str">
        <f aca="false">INDEX(Produtos!$A$2:$E$36,MATCH(C42,Produtos!$A$2:$A$36,0),3)</f>
        <v>Eletrônicos</v>
      </c>
      <c r="G42" s="10" t="n">
        <f aca="false">VLOOKUP(C42,Produtos!$A$2:$E$36,4,0)</f>
        <v>89.9</v>
      </c>
      <c r="H42" s="10" t="n">
        <f aca="false">D42*G42</f>
        <v>269.7</v>
      </c>
    </row>
    <row r="43" customFormat="false" ht="15" hidden="false" customHeight="false" outlineLevel="0" collapsed="false">
      <c r="A43" s="9" t="n">
        <v>42</v>
      </c>
      <c r="B43" s="11" t="n">
        <v>46137</v>
      </c>
      <c r="C43" s="9" t="s">
        <v>55</v>
      </c>
      <c r="D43" s="9" t="n">
        <v>3</v>
      </c>
      <c r="E43" s="9" t="str">
        <f aca="false">VLOOKUP(C43,Produtos!$A$2:$E$36,2,0)</f>
        <v>Estojo Duplo</v>
      </c>
      <c r="F43" s="9" t="str">
        <f aca="false">INDEX(Produtos!$A$2:$E$36,MATCH(C43,Produtos!$A$2:$A$36,0),3)</f>
        <v>Papelaria</v>
      </c>
      <c r="G43" s="10" t="n">
        <f aca="false">VLOOKUP(C43,Produtos!$A$2:$E$36,4,0)</f>
        <v>24.9</v>
      </c>
      <c r="H43" s="10" t="n">
        <f aca="false">D43*G43</f>
        <v>74.7</v>
      </c>
    </row>
    <row r="44" customFormat="false" ht="15" hidden="false" customHeight="false" outlineLevel="0" collapsed="false">
      <c r="A44" s="9" t="n">
        <v>43</v>
      </c>
      <c r="B44" s="11" t="n">
        <v>46139</v>
      </c>
      <c r="C44" s="9" t="s">
        <v>27</v>
      </c>
      <c r="D44" s="9" t="n">
        <v>4</v>
      </c>
      <c r="E44" s="9" t="str">
        <f aca="false">VLOOKUP(C44,Produtos!$A$2:$E$36,2,0)</f>
        <v>Mouse sem Fio</v>
      </c>
      <c r="F44" s="9" t="str">
        <f aca="false">INDEX(Produtos!$A$2:$E$36,MATCH(C44,Produtos!$A$2:$A$36,0),3)</f>
        <v>Eletrônicos</v>
      </c>
      <c r="G44" s="10" t="n">
        <f aca="false">VLOOKUP(C44,Produtos!$A$2:$E$36,4,0)</f>
        <v>39.9</v>
      </c>
      <c r="H44" s="10" t="n">
        <f aca="false">D44*G44</f>
        <v>159.6</v>
      </c>
    </row>
    <row r="45" customFormat="false" ht="15" hidden="false" customHeight="false" outlineLevel="0" collapsed="false">
      <c r="A45" s="9" t="n">
        <v>44</v>
      </c>
      <c r="B45" s="11" t="n">
        <v>46143</v>
      </c>
      <c r="C45" s="9" t="s">
        <v>81</v>
      </c>
      <c r="D45" s="9" t="n">
        <v>10</v>
      </c>
      <c r="E45" s="9" t="str">
        <f aca="false">VLOOKUP(C45,Produtos!$A$2:$E$36,2,0)</f>
        <v>Jaqueta Corta-Vento</v>
      </c>
      <c r="F45" s="9" t="str">
        <f aca="false">INDEX(Produtos!$A$2:$E$36,MATCH(C45,Produtos!$A$2:$A$36,0),3)</f>
        <v>Vestuário</v>
      </c>
      <c r="G45" s="10" t="n">
        <f aca="false">VLOOKUP(C45,Produtos!$A$2:$E$36,4,0)</f>
        <v>159.9</v>
      </c>
      <c r="H45" s="10" t="n">
        <f aca="false">D45*G45</f>
        <v>1599</v>
      </c>
    </row>
    <row r="46" customFormat="false" ht="15" hidden="false" customHeight="false" outlineLevel="0" collapsed="false">
      <c r="A46" s="9" t="n">
        <v>45</v>
      </c>
      <c r="B46" s="11" t="n">
        <v>46145</v>
      </c>
      <c r="C46" s="9" t="s">
        <v>66</v>
      </c>
      <c r="D46" s="9" t="n">
        <v>1</v>
      </c>
      <c r="E46" s="9" t="str">
        <f aca="false">VLOOKUP(C46,Produtos!$A$2:$E$36,2,0)</f>
        <v>Kit de Toalhas</v>
      </c>
      <c r="F46" s="9" t="str">
        <f aca="false">INDEX(Produtos!$A$2:$E$36,MATCH(C46,Produtos!$A$2:$A$36,0),3)</f>
        <v>Casa</v>
      </c>
      <c r="G46" s="10" t="n">
        <f aca="false">VLOOKUP(C46,Produtos!$A$2:$E$36,4,0)</f>
        <v>89.9</v>
      </c>
      <c r="H46" s="10" t="n">
        <f aca="false">D46*G46</f>
        <v>89.9</v>
      </c>
    </row>
    <row r="47" customFormat="false" ht="15" hidden="false" customHeight="false" outlineLevel="0" collapsed="false">
      <c r="A47" s="9" t="n">
        <v>46</v>
      </c>
      <c r="B47" s="11" t="n">
        <v>46146</v>
      </c>
      <c r="C47" s="9" t="s">
        <v>33</v>
      </c>
      <c r="D47" s="9" t="n">
        <v>8</v>
      </c>
      <c r="E47" s="9" t="str">
        <f aca="false">VLOOKUP(C47,Produtos!$A$2:$E$36,2,0)</f>
        <v>Pendrive 64GB</v>
      </c>
      <c r="F47" s="9" t="str">
        <f aca="false">INDEX(Produtos!$A$2:$E$36,MATCH(C47,Produtos!$A$2:$A$36,0),3)</f>
        <v>Informática</v>
      </c>
      <c r="G47" s="10" t="n">
        <f aca="false">VLOOKUP(C47,Produtos!$A$2:$E$36,4,0)</f>
        <v>44.9</v>
      </c>
      <c r="H47" s="10" t="n">
        <f aca="false">D47*G47</f>
        <v>359.2</v>
      </c>
    </row>
    <row r="48" customFormat="false" ht="15" hidden="false" customHeight="false" outlineLevel="0" collapsed="false">
      <c r="A48" s="9" t="n">
        <v>47</v>
      </c>
      <c r="B48" s="11" t="n">
        <v>46150</v>
      </c>
      <c r="C48" s="9" t="s">
        <v>72</v>
      </c>
      <c r="D48" s="9" t="n">
        <v>2</v>
      </c>
      <c r="E48" s="9" t="str">
        <f aca="false">VLOOKUP(C48,Produtos!$A$2:$E$36,2,0)</f>
        <v>Jogo de Cama Casal</v>
      </c>
      <c r="F48" s="9" t="str">
        <f aca="false">INDEX(Produtos!$A$2:$E$36,MATCH(C48,Produtos!$A$2:$A$36,0),3)</f>
        <v>Casa</v>
      </c>
      <c r="G48" s="10" t="n">
        <f aca="false">VLOOKUP(C48,Produtos!$A$2:$E$36,4,0)</f>
        <v>139.9</v>
      </c>
      <c r="H48" s="10" t="n">
        <f aca="false">D48*G48</f>
        <v>279.8</v>
      </c>
    </row>
    <row r="49" customFormat="false" ht="15" hidden="false" customHeight="false" outlineLevel="0" collapsed="false">
      <c r="A49" s="9" t="n">
        <v>48</v>
      </c>
      <c r="B49" s="11" t="n">
        <v>46151</v>
      </c>
      <c r="C49" s="9" t="s">
        <v>48</v>
      </c>
      <c r="D49" s="9" t="n">
        <v>1</v>
      </c>
      <c r="E49" s="9" t="str">
        <f aca="false">VLOOKUP(C49,Produtos!$A$2:$E$36,2,0)</f>
        <v>Caderno Universitário</v>
      </c>
      <c r="F49" s="9" t="str">
        <f aca="false">INDEX(Produtos!$A$2:$E$36,MATCH(C49,Produtos!$A$2:$A$36,0),3)</f>
        <v>Papelaria</v>
      </c>
      <c r="G49" s="10" t="n">
        <f aca="false">VLOOKUP(C49,Produtos!$A$2:$E$36,4,0)</f>
        <v>22.5</v>
      </c>
      <c r="H49" s="10" t="n">
        <f aca="false">D49*G49</f>
        <v>22.5</v>
      </c>
    </row>
    <row r="50" customFormat="false" ht="15" hidden="false" customHeight="false" outlineLevel="0" collapsed="false">
      <c r="A50" s="9" t="n">
        <v>49</v>
      </c>
      <c r="B50" s="11" t="n">
        <v>46154</v>
      </c>
      <c r="C50" s="9" t="s">
        <v>66</v>
      </c>
      <c r="D50" s="9" t="n">
        <v>10</v>
      </c>
      <c r="E50" s="9" t="str">
        <f aca="false">VLOOKUP(C50,Produtos!$A$2:$E$36,2,0)</f>
        <v>Kit de Toalhas</v>
      </c>
      <c r="F50" s="9" t="str">
        <f aca="false">INDEX(Produtos!$A$2:$E$36,MATCH(C50,Produtos!$A$2:$A$36,0),3)</f>
        <v>Casa</v>
      </c>
      <c r="G50" s="10" t="n">
        <f aca="false">VLOOKUP(C50,Produtos!$A$2:$E$36,4,0)</f>
        <v>89.9</v>
      </c>
      <c r="H50" s="10" t="n">
        <f aca="false">D50*G50</f>
        <v>899</v>
      </c>
    </row>
    <row r="51" customFormat="false" ht="15" hidden="false" customHeight="false" outlineLevel="0" collapsed="false">
      <c r="A51" s="9" t="n">
        <v>50</v>
      </c>
      <c r="B51" s="11" t="n">
        <v>46155</v>
      </c>
      <c r="C51" s="9" t="s">
        <v>91</v>
      </c>
      <c r="D51" s="9" t="n">
        <v>9</v>
      </c>
      <c r="E51" s="9" t="str">
        <f aca="false">VLOOKUP(C51,Produtos!$A$2:$E$36,2,0)</f>
        <v>Óculos de Sol</v>
      </c>
      <c r="F51" s="9" t="str">
        <f aca="false">INDEX(Produtos!$A$2:$E$36,MATCH(C51,Produtos!$A$2:$A$36,0),3)</f>
        <v>Vestuário</v>
      </c>
      <c r="G51" s="10" t="n">
        <f aca="false">VLOOKUP(C51,Produtos!$A$2:$E$36,4,0)</f>
        <v>99.9</v>
      </c>
      <c r="H51" s="10" t="n">
        <f aca="false">D51*G51</f>
        <v>899.1</v>
      </c>
    </row>
    <row r="52" customFormat="false" ht="15" hidden="false" customHeight="false" outlineLevel="0" collapsed="false">
      <c r="A52" s="9" t="n">
        <v>51</v>
      </c>
      <c r="B52" s="11" t="n">
        <v>46158</v>
      </c>
      <c r="C52" s="9" t="s">
        <v>27</v>
      </c>
      <c r="D52" s="9" t="n">
        <v>2</v>
      </c>
      <c r="E52" s="9" t="str">
        <f aca="false">VLOOKUP(C52,Produtos!$A$2:$E$36,2,0)</f>
        <v>Mouse sem Fio</v>
      </c>
      <c r="F52" s="9" t="str">
        <f aca="false">INDEX(Produtos!$A$2:$E$36,MATCH(C52,Produtos!$A$2:$A$36,0),3)</f>
        <v>Eletrônicos</v>
      </c>
      <c r="G52" s="10" t="n">
        <f aca="false">VLOOKUP(C52,Produtos!$A$2:$E$36,4,0)</f>
        <v>39.9</v>
      </c>
      <c r="H52" s="10" t="n">
        <f aca="false">D52*G52</f>
        <v>79.8</v>
      </c>
    </row>
    <row r="53" customFormat="false" ht="15" hidden="false" customHeight="false" outlineLevel="0" collapsed="false">
      <c r="A53" s="9" t="n">
        <v>52</v>
      </c>
      <c r="B53" s="11" t="n">
        <v>46162</v>
      </c>
      <c r="C53" s="9" t="s">
        <v>91</v>
      </c>
      <c r="D53" s="9" t="n">
        <v>1</v>
      </c>
      <c r="E53" s="9" t="str">
        <f aca="false">VLOOKUP(C53,Produtos!$A$2:$E$36,2,0)</f>
        <v>Óculos de Sol</v>
      </c>
      <c r="F53" s="9" t="str">
        <f aca="false">INDEX(Produtos!$A$2:$E$36,MATCH(C53,Produtos!$A$2:$A$36,0),3)</f>
        <v>Vestuário</v>
      </c>
      <c r="G53" s="10" t="n">
        <f aca="false">VLOOKUP(C53,Produtos!$A$2:$E$36,4,0)</f>
        <v>99.9</v>
      </c>
      <c r="H53" s="10" t="n">
        <f aca="false">D53*G53</f>
        <v>99.9</v>
      </c>
    </row>
    <row r="54" customFormat="false" ht="15" hidden="false" customHeight="false" outlineLevel="0" collapsed="false">
      <c r="A54" s="9" t="n">
        <v>53</v>
      </c>
      <c r="B54" s="11" t="n">
        <v>46167</v>
      </c>
      <c r="C54" s="9" t="s">
        <v>78</v>
      </c>
      <c r="D54" s="9" t="n">
        <v>7</v>
      </c>
      <c r="E54" s="9" t="str">
        <f aca="false">VLOOKUP(C54,Produtos!$A$2:$E$36,2,0)</f>
        <v>Camiseta Básica</v>
      </c>
      <c r="F54" s="9" t="str">
        <f aca="false">INDEX(Produtos!$A$2:$E$36,MATCH(C54,Produtos!$A$2:$A$36,0),3)</f>
        <v>Vestuário</v>
      </c>
      <c r="G54" s="10" t="n">
        <f aca="false">VLOOKUP(C54,Produtos!$A$2:$E$36,4,0)</f>
        <v>39.9</v>
      </c>
      <c r="H54" s="10" t="n">
        <f aca="false">D54*G54</f>
        <v>279.3</v>
      </c>
    </row>
    <row r="55" customFormat="false" ht="15" hidden="false" customHeight="false" outlineLevel="0" collapsed="false">
      <c r="A55" s="9" t="n">
        <v>54</v>
      </c>
      <c r="B55" s="11" t="n">
        <v>46173</v>
      </c>
      <c r="C55" s="9" t="s">
        <v>91</v>
      </c>
      <c r="D55" s="9" t="n">
        <v>2</v>
      </c>
      <c r="E55" s="9" t="str">
        <f aca="false">VLOOKUP(C55,Produtos!$A$2:$E$36,2,0)</f>
        <v>Óculos de Sol</v>
      </c>
      <c r="F55" s="9" t="str">
        <f aca="false">INDEX(Produtos!$A$2:$E$36,MATCH(C55,Produtos!$A$2:$A$36,0),3)</f>
        <v>Vestuário</v>
      </c>
      <c r="G55" s="10" t="n">
        <f aca="false">VLOOKUP(C55,Produtos!$A$2:$E$36,4,0)</f>
        <v>99.9</v>
      </c>
      <c r="H55" s="10" t="n">
        <f aca="false">D55*G55</f>
        <v>199.8</v>
      </c>
    </row>
    <row r="56" customFormat="false" ht="15" hidden="false" customHeight="false" outlineLevel="0" collapsed="false">
      <c r="A56" s="9" t="n">
        <v>55</v>
      </c>
      <c r="B56" s="11" t="n">
        <v>46174</v>
      </c>
      <c r="C56" s="9" t="s">
        <v>59</v>
      </c>
      <c r="D56" s="9" t="n">
        <v>11</v>
      </c>
      <c r="E56" s="9" t="str">
        <f aca="false">VLOOKUP(C56,Produtos!$A$2:$E$36,2,0)</f>
        <v>Marcador de Texto</v>
      </c>
      <c r="F56" s="9" t="str">
        <f aca="false">INDEX(Produtos!$A$2:$E$36,MATCH(C56,Produtos!$A$2:$A$36,0),3)</f>
        <v>Papelaria</v>
      </c>
      <c r="G56" s="10" t="n">
        <f aca="false">VLOOKUP(C56,Produtos!$A$2:$E$36,4,0)</f>
        <v>12.9</v>
      </c>
      <c r="H56" s="10" t="n">
        <f aca="false">D56*G56</f>
        <v>141.9</v>
      </c>
    </row>
    <row r="57" customFormat="false" ht="15" hidden="false" customHeight="false" outlineLevel="0" collapsed="false">
      <c r="A57" s="9" t="n">
        <v>56</v>
      </c>
      <c r="B57" s="11" t="n">
        <v>46175</v>
      </c>
      <c r="C57" s="9" t="s">
        <v>42</v>
      </c>
      <c r="D57" s="9" t="n">
        <v>2</v>
      </c>
      <c r="E57" s="9" t="str">
        <f aca="false">VLOOKUP(C57,Produtos!$A$2:$E$36,2,0)</f>
        <v>Cabo HDMI 2m</v>
      </c>
      <c r="F57" s="9" t="str">
        <f aca="false">INDEX(Produtos!$A$2:$E$36,MATCH(C57,Produtos!$A$2:$A$36,0),3)</f>
        <v>Informática</v>
      </c>
      <c r="G57" s="10" t="n">
        <f aca="false">VLOOKUP(C57,Produtos!$A$2:$E$36,4,0)</f>
        <v>29.9</v>
      </c>
      <c r="H57" s="10" t="n">
        <f aca="false">D57*G57</f>
        <v>59.8</v>
      </c>
    </row>
    <row r="58" customFormat="false" ht="15" hidden="false" customHeight="false" outlineLevel="0" collapsed="false">
      <c r="A58" s="9" t="n">
        <v>57</v>
      </c>
      <c r="B58" s="11" t="n">
        <v>46181</v>
      </c>
      <c r="C58" s="9" t="s">
        <v>53</v>
      </c>
      <c r="D58" s="9" t="n">
        <v>6</v>
      </c>
      <c r="E58" s="9" t="str">
        <f aca="false">VLOOKUP(C58,Produtos!$A$2:$E$36,2,0)</f>
        <v>Mochila Escolar</v>
      </c>
      <c r="F58" s="9" t="str">
        <f aca="false">INDEX(Produtos!$A$2:$E$36,MATCH(C58,Produtos!$A$2:$A$36,0),3)</f>
        <v>Papelaria</v>
      </c>
      <c r="G58" s="10" t="n">
        <f aca="false">VLOOKUP(C58,Produtos!$A$2:$E$36,4,0)</f>
        <v>119.9</v>
      </c>
      <c r="H58" s="10" t="n">
        <f aca="false">D58*G58</f>
        <v>719.4</v>
      </c>
    </row>
    <row r="59" customFormat="false" ht="15" hidden="false" customHeight="false" outlineLevel="0" collapsed="false">
      <c r="A59" s="9" t="n">
        <v>58</v>
      </c>
      <c r="B59" s="11" t="n">
        <v>46182</v>
      </c>
      <c r="C59" s="9" t="s">
        <v>78</v>
      </c>
      <c r="D59" s="9" t="n">
        <v>5</v>
      </c>
      <c r="E59" s="9" t="str">
        <f aca="false">VLOOKUP(C59,Produtos!$A$2:$E$36,2,0)</f>
        <v>Camiseta Básica</v>
      </c>
      <c r="F59" s="9" t="str">
        <f aca="false">INDEX(Produtos!$A$2:$E$36,MATCH(C59,Produtos!$A$2:$A$36,0),3)</f>
        <v>Vestuário</v>
      </c>
      <c r="G59" s="10" t="n">
        <f aca="false">VLOOKUP(C59,Produtos!$A$2:$E$36,4,0)</f>
        <v>39.9</v>
      </c>
      <c r="H59" s="10" t="n">
        <f aca="false">D59*G59</f>
        <v>199.5</v>
      </c>
    </row>
    <row r="60" customFormat="false" ht="15" hidden="false" customHeight="false" outlineLevel="0" collapsed="false">
      <c r="A60" s="9" t="n">
        <v>59</v>
      </c>
      <c r="B60" s="11" t="n">
        <v>46183</v>
      </c>
      <c r="C60" s="9" t="s">
        <v>66</v>
      </c>
      <c r="D60" s="9" t="n">
        <v>3</v>
      </c>
      <c r="E60" s="9" t="str">
        <f aca="false">VLOOKUP(C60,Produtos!$A$2:$E$36,2,0)</f>
        <v>Kit de Toalhas</v>
      </c>
      <c r="F60" s="9" t="str">
        <f aca="false">INDEX(Produtos!$A$2:$E$36,MATCH(C60,Produtos!$A$2:$A$36,0),3)</f>
        <v>Casa</v>
      </c>
      <c r="G60" s="10" t="n">
        <f aca="false">VLOOKUP(C60,Produtos!$A$2:$E$36,4,0)</f>
        <v>89.9</v>
      </c>
      <c r="H60" s="10" t="n">
        <f aca="false">D60*G60</f>
        <v>269.7</v>
      </c>
    </row>
    <row r="61" customFormat="false" ht="15" hidden="false" customHeight="false" outlineLevel="0" collapsed="false">
      <c r="A61" s="9" t="n">
        <v>60</v>
      </c>
      <c r="B61" s="11" t="n">
        <v>46183</v>
      </c>
      <c r="C61" s="9" t="s">
        <v>91</v>
      </c>
      <c r="D61" s="9" t="n">
        <v>6</v>
      </c>
      <c r="E61" s="9" t="str">
        <f aca="false">VLOOKUP(C61,Produtos!$A$2:$E$36,2,0)</f>
        <v>Óculos de Sol</v>
      </c>
      <c r="F61" s="9" t="str">
        <f aca="false">INDEX(Produtos!$A$2:$E$36,MATCH(C61,Produtos!$A$2:$A$36,0),3)</f>
        <v>Vestuário</v>
      </c>
      <c r="G61" s="10" t="n">
        <f aca="false">VLOOKUP(C61,Produtos!$A$2:$E$36,4,0)</f>
        <v>99.9</v>
      </c>
      <c r="H61" s="10" t="n">
        <f aca="false">D61*G61</f>
        <v>599.4</v>
      </c>
    </row>
    <row r="62" customFormat="false" ht="15" hidden="false" customHeight="false" outlineLevel="0" collapsed="false">
      <c r="A62" s="9" t="n">
        <v>61</v>
      </c>
      <c r="B62" s="11" t="n">
        <v>46184</v>
      </c>
      <c r="C62" s="9" t="s">
        <v>27</v>
      </c>
      <c r="D62" s="9" t="n">
        <v>4</v>
      </c>
      <c r="E62" s="9" t="str">
        <f aca="false">VLOOKUP(C62,Produtos!$A$2:$E$36,2,0)</f>
        <v>Mouse sem Fio</v>
      </c>
      <c r="F62" s="9" t="str">
        <f aca="false">INDEX(Produtos!$A$2:$E$36,MATCH(C62,Produtos!$A$2:$A$36,0),3)</f>
        <v>Eletrônicos</v>
      </c>
      <c r="G62" s="10" t="n">
        <f aca="false">VLOOKUP(C62,Produtos!$A$2:$E$36,4,0)</f>
        <v>39.9</v>
      </c>
      <c r="H62" s="10" t="n">
        <f aca="false">D62*G62</f>
        <v>159.6</v>
      </c>
    </row>
    <row r="63" customFormat="false" ht="15" hidden="false" customHeight="false" outlineLevel="0" collapsed="false">
      <c r="A63" s="9" t="n">
        <v>62</v>
      </c>
      <c r="B63" s="11" t="n">
        <v>46189</v>
      </c>
      <c r="C63" s="9" t="s">
        <v>70</v>
      </c>
      <c r="D63" s="9" t="n">
        <v>3</v>
      </c>
      <c r="E63" s="9" t="str">
        <f aca="false">VLOOKUP(C63,Produtos!$A$2:$E$36,2,0)</f>
        <v>Organizador Multiuso</v>
      </c>
      <c r="F63" s="9" t="str">
        <f aca="false">INDEX(Produtos!$A$2:$E$36,MATCH(C63,Produtos!$A$2:$A$36,0),3)</f>
        <v>Casa</v>
      </c>
      <c r="G63" s="10" t="n">
        <f aca="false">VLOOKUP(C63,Produtos!$A$2:$E$36,4,0)</f>
        <v>49.9</v>
      </c>
      <c r="H63" s="10" t="n">
        <f aca="false">D63*G63</f>
        <v>149.7</v>
      </c>
    </row>
    <row r="64" customFormat="false" ht="15" hidden="false" customHeight="false" outlineLevel="0" collapsed="false">
      <c r="A64" s="9" t="n">
        <v>63</v>
      </c>
      <c r="B64" s="11" t="n">
        <v>46194</v>
      </c>
      <c r="C64" s="9" t="s">
        <v>87</v>
      </c>
      <c r="D64" s="9" t="n">
        <v>10</v>
      </c>
      <c r="E64" s="9" t="str">
        <f aca="false">VLOOKUP(C64,Produtos!$A$2:$E$36,2,0)</f>
        <v>Meia Kit c/ 3</v>
      </c>
      <c r="F64" s="9" t="str">
        <f aca="false">INDEX(Produtos!$A$2:$E$36,MATCH(C64,Produtos!$A$2:$A$36,0),3)</f>
        <v>Vestuário</v>
      </c>
      <c r="G64" s="10" t="n">
        <f aca="false">VLOOKUP(C64,Produtos!$A$2:$E$36,4,0)</f>
        <v>29.9</v>
      </c>
      <c r="H64" s="10" t="n">
        <f aca="false">D64*G64</f>
        <v>299</v>
      </c>
    </row>
    <row r="65" customFormat="false" ht="15" hidden="false" customHeight="false" outlineLevel="0" collapsed="false">
      <c r="A65" s="9" t="n">
        <v>64</v>
      </c>
      <c r="B65" s="11" t="n">
        <v>46201</v>
      </c>
      <c r="C65" s="9" t="s">
        <v>59</v>
      </c>
      <c r="D65" s="9" t="n">
        <v>9</v>
      </c>
      <c r="E65" s="9" t="str">
        <f aca="false">VLOOKUP(C65,Produtos!$A$2:$E$36,2,0)</f>
        <v>Marcador de Texto</v>
      </c>
      <c r="F65" s="9" t="str">
        <f aca="false">INDEX(Produtos!$A$2:$E$36,MATCH(C65,Produtos!$A$2:$A$36,0),3)</f>
        <v>Papelaria</v>
      </c>
      <c r="G65" s="10" t="n">
        <f aca="false">VLOOKUP(C65,Produtos!$A$2:$E$36,4,0)</f>
        <v>12.9</v>
      </c>
      <c r="H65" s="10" t="n">
        <f aca="false">D65*G65</f>
        <v>116.1</v>
      </c>
    </row>
    <row r="66" customFormat="false" ht="15" hidden="false" customHeight="false" outlineLevel="0" collapsed="false">
      <c r="A66" s="9" t="n">
        <v>65</v>
      </c>
      <c r="B66" s="11" t="n">
        <v>46201</v>
      </c>
      <c r="C66" s="9" t="s">
        <v>46</v>
      </c>
      <c r="D66" s="9" t="n">
        <v>8</v>
      </c>
      <c r="E66" s="9" t="str">
        <f aca="false">VLOOKUP(C66,Produtos!$A$2:$E$36,2,0)</f>
        <v>Hub USB-C</v>
      </c>
      <c r="F66" s="9" t="str">
        <f aca="false">INDEX(Produtos!$A$2:$E$36,MATCH(C66,Produtos!$A$2:$A$36,0),3)</f>
        <v>Informática</v>
      </c>
      <c r="G66" s="10" t="n">
        <f aca="false">VLOOKUP(C66,Produtos!$A$2:$E$36,4,0)</f>
        <v>79.9</v>
      </c>
      <c r="H66" s="10" t="n">
        <f aca="false">D66*G66</f>
        <v>639.2</v>
      </c>
    </row>
    <row r="67" customFormat="false" ht="15" hidden="false" customHeight="false" outlineLevel="0" collapsed="false">
      <c r="A67" s="9" t="n">
        <v>66</v>
      </c>
      <c r="B67" s="11" t="n">
        <v>46201</v>
      </c>
      <c r="C67" s="9" t="s">
        <v>25</v>
      </c>
      <c r="D67" s="9" t="n">
        <v>8</v>
      </c>
      <c r="E67" s="9" t="str">
        <f aca="false">VLOOKUP(C67,Produtos!$A$2:$E$36,2,0)</f>
        <v>Smartwatch</v>
      </c>
      <c r="F67" s="9" t="str">
        <f aca="false">INDEX(Produtos!$A$2:$E$36,MATCH(C67,Produtos!$A$2:$A$36,0),3)</f>
        <v>Eletrônicos</v>
      </c>
      <c r="G67" s="10" t="n">
        <f aca="false">VLOOKUP(C67,Produtos!$A$2:$E$36,4,0)</f>
        <v>249.9</v>
      </c>
      <c r="H67" s="10" t="n">
        <f aca="false">D67*G67</f>
        <v>1999.2</v>
      </c>
    </row>
    <row r="68" customFormat="false" ht="15" hidden="false" customHeight="false" outlineLevel="0" collapsed="false">
      <c r="A68" s="9" t="n">
        <v>67</v>
      </c>
      <c r="B68" s="11" t="n">
        <v>46203</v>
      </c>
      <c r="C68" s="9" t="s">
        <v>61</v>
      </c>
      <c r="D68" s="9" t="n">
        <v>3</v>
      </c>
      <c r="E68" s="9" t="str">
        <f aca="false">VLOOKUP(C68,Produtos!$A$2:$E$36,2,0)</f>
        <v>Calculadora Científica</v>
      </c>
      <c r="F68" s="9" t="str">
        <f aca="false">INDEX(Produtos!$A$2:$E$36,MATCH(C68,Produtos!$A$2:$A$36,0),3)</f>
        <v>Papelaria</v>
      </c>
      <c r="G68" s="10" t="n">
        <f aca="false">VLOOKUP(C68,Produtos!$A$2:$E$36,4,0)</f>
        <v>69.9</v>
      </c>
      <c r="H68" s="10" t="n">
        <f aca="false">D68*G68</f>
        <v>209.7</v>
      </c>
    </row>
    <row r="69" customFormat="false" ht="15" hidden="false" customHeight="false" outlineLevel="0" collapsed="false">
      <c r="A69" s="9" t="n">
        <v>68</v>
      </c>
      <c r="B69" s="11" t="n">
        <v>46204</v>
      </c>
      <c r="C69" s="9" t="s">
        <v>61</v>
      </c>
      <c r="D69" s="9" t="n">
        <v>6</v>
      </c>
      <c r="E69" s="9" t="str">
        <f aca="false">VLOOKUP(C69,Produtos!$A$2:$E$36,2,0)</f>
        <v>Calculadora Científica</v>
      </c>
      <c r="F69" s="9" t="str">
        <f aca="false">INDEX(Produtos!$A$2:$E$36,MATCH(C69,Produtos!$A$2:$A$36,0),3)</f>
        <v>Papelaria</v>
      </c>
      <c r="G69" s="10" t="n">
        <f aca="false">VLOOKUP(C69,Produtos!$A$2:$E$36,4,0)</f>
        <v>69.9</v>
      </c>
      <c r="H69" s="10" t="n">
        <f aca="false">D69*G69</f>
        <v>419.4</v>
      </c>
    </row>
    <row r="70" customFormat="false" ht="15" hidden="false" customHeight="false" outlineLevel="0" collapsed="false">
      <c r="A70" s="9" t="n">
        <v>69</v>
      </c>
      <c r="B70" s="11" t="n">
        <v>46205</v>
      </c>
      <c r="C70" s="9" t="s">
        <v>55</v>
      </c>
      <c r="D70" s="9" t="n">
        <v>8</v>
      </c>
      <c r="E70" s="9" t="str">
        <f aca="false">VLOOKUP(C70,Produtos!$A$2:$E$36,2,0)</f>
        <v>Estojo Duplo</v>
      </c>
      <c r="F70" s="9" t="str">
        <f aca="false">INDEX(Produtos!$A$2:$E$36,MATCH(C70,Produtos!$A$2:$A$36,0),3)</f>
        <v>Papelaria</v>
      </c>
      <c r="G70" s="10" t="n">
        <f aca="false">VLOOKUP(C70,Produtos!$A$2:$E$36,4,0)</f>
        <v>24.9</v>
      </c>
      <c r="H70" s="10" t="n">
        <f aca="false">D70*G70</f>
        <v>199.2</v>
      </c>
    </row>
    <row r="71" customFormat="false" ht="15" hidden="false" customHeight="false" outlineLevel="0" collapsed="false">
      <c r="A71" s="9" t="n">
        <v>70</v>
      </c>
      <c r="B71" s="11" t="n">
        <v>46206</v>
      </c>
      <c r="C71" s="9" t="s">
        <v>27</v>
      </c>
      <c r="D71" s="9" t="n">
        <v>1</v>
      </c>
      <c r="E71" s="9" t="str">
        <f aca="false">VLOOKUP(C71,Produtos!$A$2:$E$36,2,0)</f>
        <v>Mouse sem Fio</v>
      </c>
      <c r="F71" s="9" t="str">
        <f aca="false">INDEX(Produtos!$A$2:$E$36,MATCH(C71,Produtos!$A$2:$A$36,0),3)</f>
        <v>Eletrônicos</v>
      </c>
      <c r="G71" s="10" t="n">
        <f aca="false">VLOOKUP(C71,Produtos!$A$2:$E$36,4,0)</f>
        <v>39.9</v>
      </c>
      <c r="H71" s="10" t="n">
        <f aca="false">D71*G71</f>
        <v>39.9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4"/>
    <col collapsed="false" customWidth="true" hidden="false" outlineLevel="0" max="4" min="4" style="0" width="22"/>
  </cols>
  <sheetData>
    <row r="2" customFormat="false" ht="19.7" hidden="false" customHeight="false" outlineLevel="0" collapsed="false">
      <c r="B2" s="1" t="s">
        <v>100</v>
      </c>
    </row>
    <row r="4" customFormat="false" ht="15" hidden="false" customHeight="false" outlineLevel="0" collapsed="false">
      <c r="B4" s="3" t="s">
        <v>101</v>
      </c>
    </row>
    <row r="5" customFormat="false" ht="15" hidden="false" customHeight="false" outlineLevel="0" collapsed="false">
      <c r="B5" s="12" t="s">
        <v>102</v>
      </c>
      <c r="D5" s="13" t="s">
        <v>18</v>
      </c>
    </row>
    <row r="6" customFormat="false" ht="15" hidden="false" customHeight="false" outlineLevel="0" collapsed="false">
      <c r="B6" s="5" t="s">
        <v>14</v>
      </c>
      <c r="D6" s="13" t="str">
        <f aca="false">VLOOKUP($D$5,Produtos!$A$2:$E$36,2,0)</f>
        <v>Fone de Ouvido Bluetooth</v>
      </c>
    </row>
    <row r="7" customFormat="false" ht="15" hidden="false" customHeight="false" outlineLevel="0" collapsed="false">
      <c r="B7" s="5" t="s">
        <v>15</v>
      </c>
      <c r="D7" s="13" t="str">
        <f aca="false">VLOOKUP($D$5,Produtos!$A$2:$E$36,3,0)</f>
        <v>Eletrônicos</v>
      </c>
    </row>
    <row r="8" customFormat="false" ht="15" hidden="false" customHeight="false" outlineLevel="0" collapsed="false">
      <c r="B8" s="5" t="s">
        <v>16</v>
      </c>
      <c r="D8" s="14" t="n">
        <f aca="false">VLOOKUP($D$5,Produtos!$A$2:$E$36,4,0)</f>
        <v>89.9</v>
      </c>
    </row>
    <row r="9" customFormat="false" ht="15" hidden="false" customHeight="false" outlineLevel="0" collapsed="false">
      <c r="B9" s="5" t="s">
        <v>103</v>
      </c>
      <c r="D9" s="13" t="n">
        <f aca="false">VLOOKUP($D$5,Produtos!$A$2:$E$36,5,0)</f>
        <v>87</v>
      </c>
    </row>
    <row r="12" customFormat="false" ht="15" hidden="false" customHeight="false" outlineLevel="0" collapsed="false">
      <c r="B12" s="3" t="s">
        <v>104</v>
      </c>
    </row>
    <row r="13" customFormat="false" ht="15" hidden="false" customHeight="false" outlineLevel="0" collapsed="false">
      <c r="B13" s="12" t="s">
        <v>105</v>
      </c>
      <c r="D13" s="13" t="s">
        <v>51</v>
      </c>
    </row>
    <row r="14" customFormat="false" ht="15" hidden="false" customHeight="false" outlineLevel="0" collapsed="false">
      <c r="B14" s="5" t="s">
        <v>14</v>
      </c>
      <c r="D14" s="15"/>
    </row>
    <row r="15" customFormat="false" ht="15" hidden="false" customHeight="false" outlineLevel="0" collapsed="false">
      <c r="B15" s="5" t="s">
        <v>15</v>
      </c>
      <c r="D15" s="15"/>
    </row>
    <row r="16" customFormat="false" ht="15" hidden="false" customHeight="false" outlineLevel="0" collapsed="false">
      <c r="B16" s="5" t="s">
        <v>16</v>
      </c>
      <c r="D16" s="15"/>
    </row>
    <row r="17" customFormat="false" ht="15" hidden="false" customHeight="false" outlineLevel="0" collapsed="false">
      <c r="B17" s="5" t="s">
        <v>103</v>
      </c>
      <c r="D17" s="15"/>
    </row>
    <row r="20" customFormat="false" ht="15" hidden="false" customHeight="false" outlineLevel="0" collapsed="false">
      <c r="B20" s="16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4"/>
    <col collapsed="false" customWidth="true" hidden="false" outlineLevel="0" max="6" min="6" style="0" width="14"/>
    <col collapsed="false" customWidth="true" hidden="false" outlineLevel="0" max="7" min="7" style="0" width="20"/>
  </cols>
  <sheetData>
    <row r="2" customFormat="false" ht="19.7" hidden="false" customHeight="false" outlineLevel="0" collapsed="false">
      <c r="B2" s="1" t="s">
        <v>107</v>
      </c>
    </row>
    <row r="4" customFormat="false" ht="15" hidden="false" customHeight="false" outlineLevel="0" collapsed="false">
      <c r="B4" s="3" t="s">
        <v>108</v>
      </c>
      <c r="F4" s="3" t="s">
        <v>109</v>
      </c>
    </row>
    <row r="5" customFormat="false" ht="15" hidden="false" customHeight="false" outlineLevel="0" collapsed="false">
      <c r="B5" s="8" t="s">
        <v>15</v>
      </c>
      <c r="C5" s="8" t="s">
        <v>110</v>
      </c>
      <c r="F5" s="8" t="s">
        <v>111</v>
      </c>
      <c r="G5" s="8" t="s">
        <v>110</v>
      </c>
    </row>
    <row r="6" customFormat="false" ht="15" hidden="false" customHeight="false" outlineLevel="0" collapsed="false">
      <c r="B6" s="9" t="s">
        <v>20</v>
      </c>
      <c r="C6" s="10" t="n">
        <f aca="false">SUMIF(Vendas!$F$2:$F$71,B6,Vendas!$H$2:$H$71)</f>
        <v>6103.3</v>
      </c>
      <c r="F6" s="9" t="s">
        <v>112</v>
      </c>
      <c r="G6" s="10" t="n">
        <f aca="false">SUMPRODUCT((MONTH(Vendas!$B$2:$B$71)=1)*(YEAR(Vendas!$B$2:$B$71)=2026)*Vendas!$H$2:$H$71)</f>
        <v>6743.3</v>
      </c>
    </row>
    <row r="7" customFormat="false" ht="15" hidden="false" customHeight="false" outlineLevel="0" collapsed="false">
      <c r="B7" s="9" t="s">
        <v>35</v>
      </c>
      <c r="C7" s="10" t="n">
        <f aca="false">SUMIF(Vendas!$F$2:$F$71,B7,Vendas!$H$2:$H$71)</f>
        <v>8511.8</v>
      </c>
      <c r="F7" s="9" t="s">
        <v>113</v>
      </c>
      <c r="G7" s="10" t="n">
        <f aca="false">SUMPRODUCT((MONTH(Vendas!$B$2:$B$71)=2)*(YEAR(Vendas!$B$2:$B$71)=2026)*Vendas!$H$2:$H$71)</f>
        <v>5249.9</v>
      </c>
    </row>
    <row r="8" customFormat="false" ht="15" hidden="false" customHeight="false" outlineLevel="0" collapsed="false">
      <c r="B8" s="9" t="s">
        <v>50</v>
      </c>
      <c r="C8" s="10" t="n">
        <f aca="false">SUMIF(Vendas!$F$2:$F$71,B8,Vendas!$H$2:$H$71)</f>
        <v>3845.8</v>
      </c>
      <c r="F8" s="9" t="s">
        <v>114</v>
      </c>
      <c r="G8" s="10" t="n">
        <f aca="false">SUMPRODUCT((MONTH(Vendas!$B$2:$B$71)=3)*(YEAR(Vendas!$B$2:$B$71)=2026)*Vendas!$H$2:$H$71)</f>
        <v>11282.1</v>
      </c>
    </row>
    <row r="9" customFormat="false" ht="15" hidden="false" customHeight="false" outlineLevel="0" collapsed="false">
      <c r="B9" s="9" t="s">
        <v>65</v>
      </c>
      <c r="C9" s="10" t="n">
        <f aca="false">SUMIF(Vendas!$F$2:$F$71,B9,Vendas!$H$2:$H$71)</f>
        <v>11621.3</v>
      </c>
      <c r="F9" s="9" t="s">
        <v>115</v>
      </c>
      <c r="G9" s="10" t="n">
        <f aca="false">SUMPRODUCT((MONTH(Vendas!$B$2:$B$71)=4)*(YEAR(Vendas!$B$2:$B$71)=2026)*Vendas!$H$2:$H$71)</f>
        <v>7018.8</v>
      </c>
    </row>
    <row r="10" customFormat="false" ht="15" hidden="false" customHeight="false" outlineLevel="0" collapsed="false">
      <c r="B10" s="9" t="s">
        <v>80</v>
      </c>
      <c r="C10" s="10" t="n">
        <f aca="false">SUMIF(Vendas!$F$2:$F$71,B10,Vendas!$H$2:$H$71)</f>
        <v>11239.9</v>
      </c>
      <c r="F10" s="9" t="s">
        <v>116</v>
      </c>
      <c r="G10" s="10" t="n">
        <f aca="false">SUMPRODUCT((MONTH(Vendas!$B$2:$B$71)=5)*(YEAR(Vendas!$B$2:$B$71)=2026)*Vendas!$H$2:$H$71)</f>
        <v>4807.3</v>
      </c>
    </row>
    <row r="11" customFormat="false" ht="15" hidden="false" customHeight="false" outlineLevel="0" collapsed="false">
      <c r="F11" s="9" t="s">
        <v>117</v>
      </c>
      <c r="G11" s="10" t="n">
        <f aca="false">SUMPRODUCT((MONTH(Vendas!$B$2:$B$71)=6)*(YEAR(Vendas!$B$2:$B$71)=2026)*Vendas!$H$2:$H$71)</f>
        <v>5562.2</v>
      </c>
    </row>
    <row r="12" customFormat="false" ht="15" hidden="false" customHeight="false" outlineLevel="0" collapsed="false">
      <c r="F12" s="9" t="s">
        <v>118</v>
      </c>
      <c r="G12" s="10" t="n">
        <f aca="false">SUMPRODUCT((MONTH(Vendas!$B$2:$B$71)=7)*(YEAR(Vendas!$B$2:$B$71)=2026)*Vendas!$H$2:$H$71)</f>
        <v>658.5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2026-08-06T20:08:24Z</dcterms:created>
  <dc:creator>openpyxl</dc:creator>
  <dc:description/>
  <dc:language>en-US</dc:language>
  <cp:lastModifiedBy/>
  <dcterms:modified xsi:type="dcterms:W3CDTF">2026-08-06T20:08:33Z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